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isha\Desktop\jobs\portfolio website\rishabkariya.github.io\projects\health tracker\"/>
    </mc:Choice>
  </mc:AlternateContent>
  <xr:revisionPtr revIDLastSave="0" documentId="13_ncr:1_{B152DAF4-3A03-46E2-A35B-CDFAC7B7E554}" xr6:coauthVersionLast="47" xr6:coauthVersionMax="47" xr10:uidLastSave="{00000000-0000-0000-0000-000000000000}"/>
  <bookViews>
    <workbookView xWindow="-108" yWindow="-108" windowWidth="23256" windowHeight="12456" activeTab="1" xr2:uid="{9417EAD1-E218-4823-8C02-EB3C341FAC1D}"/>
  </bookViews>
  <sheets>
    <sheet name="inputs" sheetId="6" r:id="rId1"/>
    <sheet name="macros and basic" sheetId="3" r:id="rId2"/>
    <sheet name="master data " sheetId="5" r:id="rId3"/>
  </sheets>
  <externalReferences>
    <externalReference r:id="rId4"/>
  </externalReferences>
  <definedNames>
    <definedName name="_xlnm._FilterDatabase" localSheetId="1" hidden="1">'macros and basic'!$A$2:$F$105</definedName>
    <definedName name="cookings_oils" localSheetId="1">'macros and basic'!#REF!</definedName>
    <definedName name="dairy" localSheetId="1">'macros and basic'!$H$2:$H$1048576</definedName>
    <definedName name="drinks" localSheetId="1">'macros and basic'!#REF!</definedName>
    <definedName name="Fruits" localSheetId="1">'macros and basic'!#REF!</definedName>
    <definedName name="grains" localSheetId="1">'macros and basic'!#REF!</definedName>
    <definedName name="legumes" localSheetId="1">'macros and basic'!#REF!</definedName>
    <definedName name="masala" localSheetId="1">'macros and basic'!#REF!</definedName>
    <definedName name="masala">[1]Sheet1!#REF!</definedName>
    <definedName name="non_veg" localSheetId="1">'macros and basic'!#REF!</definedName>
    <definedName name="Nuts_and_seeds" localSheetId="1">'macros and basic'!#REF!</definedName>
    <definedName name="Particulars" localSheetId="1">'macros and basic'!$B$2:$B$1048576</definedName>
    <definedName name="seeds" localSheetId="1">'macros and basic'!#REF!</definedName>
    <definedName name="seeds">[1]Sheet1!#REF!</definedName>
    <definedName name="supplements" localSheetId="1">'macros and basic'!$G$2:$G$1048576</definedName>
    <definedName name="Vegetables" localSheetId="1">'macros and basic'!#REF!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98" i="3" l="1"/>
  <c r="V105" i="3"/>
  <c r="V104" i="3"/>
  <c r="V103" i="3"/>
  <c r="V102" i="3"/>
  <c r="V101" i="3"/>
  <c r="V100" i="3"/>
  <c r="V99" i="3"/>
  <c r="V97" i="3"/>
  <c r="V96" i="3"/>
  <c r="V95" i="3"/>
  <c r="V94" i="3"/>
  <c r="V93" i="3"/>
  <c r="V92" i="3"/>
  <c r="V91" i="3"/>
  <c r="V90" i="3"/>
  <c r="V89" i="3"/>
  <c r="V88" i="3"/>
  <c r="V87" i="3"/>
  <c r="V86" i="3"/>
  <c r="V85" i="3"/>
  <c r="V84" i="3"/>
  <c r="V83" i="3"/>
  <c r="V81" i="3"/>
  <c r="V80" i="3"/>
  <c r="V79" i="3"/>
  <c r="V78" i="3"/>
  <c r="V77" i="3"/>
  <c r="V76" i="3"/>
  <c r="V75" i="3"/>
  <c r="V74" i="3"/>
  <c r="V73" i="3"/>
  <c r="V71" i="3"/>
  <c r="V70" i="3"/>
  <c r="V69" i="3"/>
  <c r="V68" i="3"/>
  <c r="V67" i="3"/>
  <c r="V66" i="3"/>
  <c r="V65" i="3"/>
  <c r="V64" i="3"/>
  <c r="V63" i="3"/>
  <c r="V62" i="3"/>
  <c r="V61" i="3"/>
  <c r="V60" i="3"/>
  <c r="V59" i="3"/>
  <c r="V58" i="3"/>
  <c r="V57" i="3"/>
  <c r="V56" i="3"/>
  <c r="V55" i="3"/>
  <c r="V54" i="3"/>
  <c r="V53" i="3"/>
  <c r="V52" i="3"/>
  <c r="V51" i="3"/>
  <c r="V50" i="3"/>
  <c r="V49" i="3"/>
  <c r="V48" i="3"/>
  <c r="V47" i="3"/>
  <c r="V46" i="3"/>
  <c r="V45" i="3"/>
  <c r="V44" i="3"/>
  <c r="V43" i="3"/>
  <c r="V42" i="3"/>
  <c r="V41" i="3"/>
  <c r="V40" i="3"/>
  <c r="V39" i="3"/>
  <c r="V38" i="3"/>
  <c r="V37" i="3"/>
  <c r="V36" i="3"/>
  <c r="V34" i="3"/>
  <c r="V33" i="3"/>
  <c r="V32" i="3"/>
  <c r="V31" i="3"/>
  <c r="V30" i="3"/>
  <c r="V29" i="3"/>
  <c r="V28" i="3"/>
  <c r="V27" i="3"/>
  <c r="V26" i="3"/>
  <c r="V25" i="3"/>
  <c r="V24" i="3"/>
  <c r="V22" i="3"/>
  <c r="V21" i="3"/>
  <c r="V20" i="3"/>
  <c r="V19" i="3"/>
  <c r="V18" i="3"/>
  <c r="V16" i="3"/>
  <c r="V15" i="3"/>
  <c r="V14" i="3"/>
  <c r="V13" i="3"/>
  <c r="V12" i="3"/>
  <c r="V11" i="3"/>
  <c r="V10" i="3"/>
  <c r="V9" i="3"/>
  <c r="V8" i="3"/>
  <c r="V7" i="3"/>
  <c r="V6" i="3"/>
  <c r="V5" i="3"/>
  <c r="V4" i="3"/>
  <c r="V3" i="3"/>
  <c r="U105" i="3"/>
  <c r="U104" i="3"/>
  <c r="U103" i="3"/>
  <c r="U102" i="3"/>
  <c r="U101" i="3"/>
  <c r="U100" i="3"/>
  <c r="U99" i="3"/>
  <c r="U97" i="3"/>
  <c r="U96" i="3"/>
  <c r="U95" i="3"/>
  <c r="U94" i="3"/>
  <c r="U93" i="3"/>
  <c r="U92" i="3"/>
  <c r="U91" i="3"/>
  <c r="U90" i="3"/>
  <c r="U89" i="3"/>
  <c r="U88" i="3"/>
  <c r="U87" i="3"/>
  <c r="U86" i="3"/>
  <c r="U85" i="3"/>
  <c r="U84" i="3"/>
  <c r="U83" i="3"/>
  <c r="U81" i="3"/>
  <c r="U80" i="3"/>
  <c r="U79" i="3"/>
  <c r="U78" i="3"/>
  <c r="U77" i="3"/>
  <c r="U76" i="3"/>
  <c r="U75" i="3"/>
  <c r="U74" i="3"/>
  <c r="U73" i="3"/>
  <c r="U71" i="3"/>
  <c r="U70" i="3"/>
  <c r="U69" i="3"/>
  <c r="U68" i="3"/>
  <c r="U67" i="3"/>
  <c r="U66" i="3"/>
  <c r="U65" i="3"/>
  <c r="U64" i="3"/>
  <c r="U63" i="3"/>
  <c r="U62" i="3"/>
  <c r="U61" i="3"/>
  <c r="U60" i="3"/>
  <c r="U59" i="3"/>
  <c r="U58" i="3"/>
  <c r="U57" i="3"/>
  <c r="U56" i="3"/>
  <c r="U55" i="3"/>
  <c r="U54" i="3"/>
  <c r="U53" i="3"/>
  <c r="U52" i="3"/>
  <c r="U51" i="3"/>
  <c r="U50" i="3"/>
  <c r="U49" i="3"/>
  <c r="U48" i="3"/>
  <c r="U47" i="3"/>
  <c r="U46" i="3"/>
  <c r="U45" i="3"/>
  <c r="U44" i="3"/>
  <c r="U43" i="3"/>
  <c r="U42" i="3"/>
  <c r="U41" i="3"/>
  <c r="U40" i="3"/>
  <c r="U39" i="3"/>
  <c r="U38" i="3"/>
  <c r="U37" i="3"/>
  <c r="U36" i="3"/>
  <c r="U34" i="3"/>
  <c r="U33" i="3"/>
  <c r="U32" i="3"/>
  <c r="U31" i="3"/>
  <c r="U30" i="3"/>
  <c r="U29" i="3"/>
  <c r="U28" i="3"/>
  <c r="U27" i="3"/>
  <c r="U26" i="3"/>
  <c r="U25" i="3"/>
  <c r="U24" i="3"/>
  <c r="U22" i="3"/>
  <c r="U21" i="3"/>
  <c r="U20" i="3"/>
  <c r="U19" i="3"/>
  <c r="U18" i="3"/>
  <c r="U16" i="3"/>
  <c r="U15" i="3"/>
  <c r="U14" i="3"/>
  <c r="U13" i="3"/>
  <c r="U12" i="3"/>
  <c r="U11" i="3"/>
  <c r="U10" i="3"/>
  <c r="U9" i="3"/>
  <c r="U8" i="3"/>
  <c r="U7" i="3"/>
  <c r="U6" i="3"/>
  <c r="U5" i="3"/>
  <c r="U4" i="3"/>
  <c r="U3" i="3"/>
  <c r="T105" i="3"/>
  <c r="T104" i="3"/>
  <c r="T103" i="3"/>
  <c r="T102" i="3"/>
  <c r="T101" i="3"/>
  <c r="T100" i="3"/>
  <c r="T99" i="3"/>
  <c r="T97" i="3"/>
  <c r="T96" i="3"/>
  <c r="T95" i="3"/>
  <c r="T94" i="3"/>
  <c r="T93" i="3"/>
  <c r="T92" i="3"/>
  <c r="T91" i="3"/>
  <c r="T90" i="3"/>
  <c r="T89" i="3"/>
  <c r="T88" i="3"/>
  <c r="T87" i="3"/>
  <c r="T86" i="3"/>
  <c r="T85" i="3"/>
  <c r="T84" i="3"/>
  <c r="T83" i="3"/>
  <c r="T81" i="3"/>
  <c r="T80" i="3"/>
  <c r="T79" i="3"/>
  <c r="T78" i="3"/>
  <c r="T77" i="3"/>
  <c r="T76" i="3"/>
  <c r="T75" i="3"/>
  <c r="T74" i="3"/>
  <c r="T73" i="3"/>
  <c r="T71" i="3"/>
  <c r="T70" i="3"/>
  <c r="T69" i="3"/>
  <c r="T68" i="3"/>
  <c r="T67" i="3"/>
  <c r="T66" i="3"/>
  <c r="T65" i="3"/>
  <c r="T64" i="3"/>
  <c r="T63" i="3"/>
  <c r="T62" i="3"/>
  <c r="T61" i="3"/>
  <c r="T60" i="3"/>
  <c r="T59" i="3"/>
  <c r="T58" i="3"/>
  <c r="T57" i="3"/>
  <c r="T56" i="3"/>
  <c r="T55" i="3"/>
  <c r="T54" i="3"/>
  <c r="T53" i="3"/>
  <c r="T52" i="3"/>
  <c r="T51" i="3"/>
  <c r="T50" i="3"/>
  <c r="T49" i="3"/>
  <c r="T48" i="3"/>
  <c r="T47" i="3"/>
  <c r="T46" i="3"/>
  <c r="T45" i="3"/>
  <c r="T44" i="3"/>
  <c r="T43" i="3"/>
  <c r="T42" i="3"/>
  <c r="T41" i="3"/>
  <c r="T40" i="3"/>
  <c r="T39" i="3"/>
  <c r="T38" i="3"/>
  <c r="T37" i="3"/>
  <c r="T36" i="3"/>
  <c r="T34" i="3"/>
  <c r="T33" i="3"/>
  <c r="T32" i="3"/>
  <c r="T31" i="3"/>
  <c r="T30" i="3"/>
  <c r="T29" i="3"/>
  <c r="T28" i="3"/>
  <c r="T27" i="3"/>
  <c r="T26" i="3"/>
  <c r="T25" i="3"/>
  <c r="T24" i="3"/>
  <c r="T22" i="3"/>
  <c r="T21" i="3"/>
  <c r="T20" i="3"/>
  <c r="T19" i="3"/>
  <c r="T18" i="3"/>
  <c r="T16" i="3"/>
  <c r="T15" i="3"/>
  <c r="T14" i="3"/>
  <c r="T13" i="3"/>
  <c r="T12" i="3"/>
  <c r="T11" i="3"/>
  <c r="T10" i="3"/>
  <c r="T9" i="3"/>
  <c r="T8" i="3"/>
  <c r="T7" i="3"/>
  <c r="T6" i="3"/>
  <c r="T5" i="3"/>
  <c r="T4" i="3"/>
  <c r="T3" i="3"/>
  <c r="S105" i="3"/>
  <c r="S104" i="3"/>
  <c r="S103" i="3"/>
  <c r="S102" i="3"/>
  <c r="S101" i="3"/>
  <c r="S100" i="3"/>
  <c r="S99" i="3"/>
  <c r="S97" i="3"/>
  <c r="S96" i="3"/>
  <c r="S95" i="3"/>
  <c r="S94" i="3"/>
  <c r="S93" i="3"/>
  <c r="S92" i="3"/>
  <c r="S91" i="3"/>
  <c r="S90" i="3"/>
  <c r="S89" i="3"/>
  <c r="S88" i="3"/>
  <c r="S87" i="3"/>
  <c r="S86" i="3"/>
  <c r="S85" i="3"/>
  <c r="S84" i="3"/>
  <c r="S83" i="3"/>
  <c r="S81" i="3"/>
  <c r="S80" i="3"/>
  <c r="S79" i="3"/>
  <c r="S78" i="3"/>
  <c r="S77" i="3"/>
  <c r="S76" i="3"/>
  <c r="S75" i="3"/>
  <c r="S74" i="3"/>
  <c r="S73" i="3"/>
  <c r="S71" i="3"/>
  <c r="S70" i="3"/>
  <c r="S69" i="3"/>
  <c r="S68" i="3"/>
  <c r="S67" i="3"/>
  <c r="S66" i="3"/>
  <c r="S65" i="3"/>
  <c r="S64" i="3"/>
  <c r="S63" i="3"/>
  <c r="S62" i="3"/>
  <c r="S61" i="3"/>
  <c r="S60" i="3"/>
  <c r="S59" i="3"/>
  <c r="S58" i="3"/>
  <c r="S57" i="3"/>
  <c r="S56" i="3"/>
  <c r="S55" i="3"/>
  <c r="S54" i="3"/>
  <c r="S53" i="3"/>
  <c r="S52" i="3"/>
  <c r="S51" i="3"/>
  <c r="S50" i="3"/>
  <c r="S49" i="3"/>
  <c r="S48" i="3"/>
  <c r="S47" i="3"/>
  <c r="S46" i="3"/>
  <c r="S45" i="3"/>
  <c r="S44" i="3"/>
  <c r="S43" i="3"/>
  <c r="S42" i="3"/>
  <c r="S41" i="3"/>
  <c r="S40" i="3"/>
  <c r="S39" i="3"/>
  <c r="S38" i="3"/>
  <c r="S37" i="3"/>
  <c r="S36" i="3"/>
  <c r="S34" i="3"/>
  <c r="S33" i="3"/>
  <c r="S32" i="3"/>
  <c r="S31" i="3"/>
  <c r="S30" i="3"/>
  <c r="S29" i="3"/>
  <c r="S28" i="3"/>
  <c r="S27" i="3"/>
  <c r="S26" i="3"/>
  <c r="S25" i="3"/>
  <c r="S24" i="3"/>
  <c r="S22" i="3"/>
  <c r="S21" i="3"/>
  <c r="S20" i="3"/>
  <c r="S19" i="3"/>
  <c r="S18" i="3"/>
  <c r="S16" i="3"/>
  <c r="S15" i="3"/>
  <c r="S14" i="3"/>
  <c r="S13" i="3"/>
  <c r="S12" i="3"/>
  <c r="S11" i="3"/>
  <c r="S10" i="3"/>
  <c r="S9" i="3"/>
  <c r="S8" i="3"/>
  <c r="S7" i="3"/>
  <c r="S6" i="3"/>
  <c r="S5" i="3"/>
  <c r="S4" i="3"/>
  <c r="S3" i="3"/>
  <c r="R105" i="3"/>
  <c r="R104" i="3"/>
  <c r="R103" i="3"/>
  <c r="R102" i="3"/>
  <c r="R101" i="3"/>
  <c r="R100" i="3"/>
  <c r="R99" i="3"/>
  <c r="R97" i="3"/>
  <c r="R96" i="3"/>
  <c r="R95" i="3"/>
  <c r="R94" i="3"/>
  <c r="R93" i="3"/>
  <c r="R92" i="3"/>
  <c r="R91" i="3"/>
  <c r="R90" i="3"/>
  <c r="R89" i="3"/>
  <c r="R88" i="3"/>
  <c r="R87" i="3"/>
  <c r="R86" i="3"/>
  <c r="R85" i="3"/>
  <c r="R84" i="3"/>
  <c r="R83" i="3"/>
  <c r="R81" i="3"/>
  <c r="R80" i="3"/>
  <c r="R79" i="3"/>
  <c r="R78" i="3"/>
  <c r="R77" i="3"/>
  <c r="R76" i="3"/>
  <c r="R75" i="3"/>
  <c r="R74" i="3"/>
  <c r="R73" i="3"/>
  <c r="R71" i="3"/>
  <c r="R70" i="3"/>
  <c r="R69" i="3"/>
  <c r="R68" i="3"/>
  <c r="R67" i="3"/>
  <c r="R66" i="3"/>
  <c r="R65" i="3"/>
  <c r="R64" i="3"/>
  <c r="R63" i="3"/>
  <c r="R62" i="3"/>
  <c r="R61" i="3"/>
  <c r="R60" i="3"/>
  <c r="R59" i="3"/>
  <c r="R58" i="3"/>
  <c r="R57" i="3"/>
  <c r="R56" i="3"/>
  <c r="R55" i="3"/>
  <c r="R54" i="3"/>
  <c r="R53" i="3"/>
  <c r="R52" i="3"/>
  <c r="R51" i="3"/>
  <c r="R50" i="3"/>
  <c r="R49" i="3"/>
  <c r="R48" i="3"/>
  <c r="R47" i="3"/>
  <c r="R46" i="3"/>
  <c r="R45" i="3"/>
  <c r="R44" i="3"/>
  <c r="R43" i="3"/>
  <c r="R42" i="3"/>
  <c r="R41" i="3"/>
  <c r="R40" i="3"/>
  <c r="R39" i="3"/>
  <c r="R38" i="3"/>
  <c r="R37" i="3"/>
  <c r="R36" i="3"/>
  <c r="R34" i="3"/>
  <c r="R33" i="3"/>
  <c r="R32" i="3"/>
  <c r="R31" i="3"/>
  <c r="R30" i="3"/>
  <c r="R29" i="3"/>
  <c r="R28" i="3"/>
  <c r="R27" i="3"/>
  <c r="R26" i="3"/>
  <c r="R25" i="3"/>
  <c r="R24" i="3"/>
  <c r="R22" i="3"/>
  <c r="R21" i="3"/>
  <c r="R20" i="3"/>
  <c r="R19" i="3"/>
  <c r="R18" i="3"/>
  <c r="R16" i="3"/>
  <c r="R15" i="3"/>
  <c r="R14" i="3"/>
  <c r="R13" i="3"/>
  <c r="R12" i="3"/>
  <c r="R11" i="3"/>
  <c r="R10" i="3"/>
  <c r="R9" i="3"/>
  <c r="R8" i="3"/>
  <c r="R7" i="3"/>
  <c r="R6" i="3"/>
  <c r="R5" i="3"/>
  <c r="R4" i="3"/>
  <c r="R3" i="3"/>
  <c r="Q105" i="3"/>
  <c r="Q104" i="3"/>
  <c r="Q103" i="3"/>
  <c r="Q102" i="3"/>
  <c r="Q101" i="3"/>
  <c r="Q100" i="3"/>
  <c r="Q99" i="3"/>
  <c r="Q97" i="3"/>
  <c r="Q96" i="3"/>
  <c r="Q95" i="3"/>
  <c r="Q94" i="3"/>
  <c r="Q93" i="3"/>
  <c r="Q92" i="3"/>
  <c r="Q91" i="3"/>
  <c r="Q90" i="3"/>
  <c r="Q89" i="3"/>
  <c r="Q88" i="3"/>
  <c r="Q87" i="3"/>
  <c r="Q86" i="3"/>
  <c r="Q85" i="3"/>
  <c r="Q84" i="3"/>
  <c r="Q83" i="3"/>
  <c r="Q81" i="3"/>
  <c r="Q80" i="3"/>
  <c r="Q79" i="3"/>
  <c r="Q78" i="3"/>
  <c r="Q77" i="3"/>
  <c r="Q76" i="3"/>
  <c r="Q75" i="3"/>
  <c r="Q74" i="3"/>
  <c r="Q73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4" i="3"/>
  <c r="Q33" i="3"/>
  <c r="Q32" i="3"/>
  <c r="Q31" i="3"/>
  <c r="Q30" i="3"/>
  <c r="Q29" i="3"/>
  <c r="Q28" i="3"/>
  <c r="Q27" i="3"/>
  <c r="Q26" i="3"/>
  <c r="Q25" i="3"/>
  <c r="Q24" i="3"/>
  <c r="Q22" i="3"/>
  <c r="Q21" i="3"/>
  <c r="Q20" i="3"/>
  <c r="Q19" i="3"/>
  <c r="Q18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Q3" i="3"/>
  <c r="P105" i="3"/>
  <c r="P104" i="3"/>
  <c r="P103" i="3"/>
  <c r="P102" i="3"/>
  <c r="P101" i="3"/>
  <c r="P100" i="3"/>
  <c r="P99" i="3"/>
  <c r="P97" i="3"/>
  <c r="P96" i="3"/>
  <c r="P95" i="3"/>
  <c r="P94" i="3"/>
  <c r="P93" i="3"/>
  <c r="P92" i="3"/>
  <c r="P91" i="3"/>
  <c r="P90" i="3"/>
  <c r="P89" i="3"/>
  <c r="P88" i="3"/>
  <c r="P87" i="3"/>
  <c r="P86" i="3"/>
  <c r="P85" i="3"/>
  <c r="P84" i="3"/>
  <c r="P83" i="3"/>
  <c r="P81" i="3"/>
  <c r="P80" i="3"/>
  <c r="P79" i="3"/>
  <c r="P78" i="3"/>
  <c r="P77" i="3"/>
  <c r="P76" i="3"/>
  <c r="P75" i="3"/>
  <c r="P74" i="3"/>
  <c r="P73" i="3"/>
  <c r="P71" i="3"/>
  <c r="P70" i="3"/>
  <c r="P69" i="3"/>
  <c r="P68" i="3"/>
  <c r="P67" i="3"/>
  <c r="P66" i="3"/>
  <c r="P65" i="3"/>
  <c r="P64" i="3"/>
  <c r="P63" i="3"/>
  <c r="P62" i="3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4" i="3"/>
  <c r="P33" i="3"/>
  <c r="P32" i="3"/>
  <c r="P31" i="3"/>
  <c r="P30" i="3"/>
  <c r="P29" i="3"/>
  <c r="P28" i="3"/>
  <c r="P27" i="3"/>
  <c r="P26" i="3"/>
  <c r="P25" i="3"/>
  <c r="P24" i="3"/>
  <c r="P22" i="3"/>
  <c r="P21" i="3"/>
  <c r="P20" i="3"/>
  <c r="P19" i="3"/>
  <c r="P18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P3" i="3"/>
  <c r="O105" i="3"/>
  <c r="O104" i="3"/>
  <c r="O103" i="3"/>
  <c r="O102" i="3"/>
  <c r="O101" i="3"/>
  <c r="O100" i="3"/>
  <c r="O99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1" i="3"/>
  <c r="O80" i="3"/>
  <c r="O79" i="3"/>
  <c r="O78" i="3"/>
  <c r="O77" i="3"/>
  <c r="O76" i="3"/>
  <c r="O75" i="3"/>
  <c r="O74" i="3"/>
  <c r="O73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4" i="3"/>
  <c r="O33" i="3"/>
  <c r="O32" i="3"/>
  <c r="O31" i="3"/>
  <c r="O30" i="3"/>
  <c r="O29" i="3"/>
  <c r="O28" i="3"/>
  <c r="O27" i="3"/>
  <c r="O26" i="3"/>
  <c r="O25" i="3"/>
  <c r="O24" i="3"/>
  <c r="O22" i="3"/>
  <c r="O21" i="3"/>
  <c r="O20" i="3"/>
  <c r="O19" i="3"/>
  <c r="O18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N105" i="3"/>
  <c r="N104" i="3"/>
  <c r="N103" i="3"/>
  <c r="N102" i="3"/>
  <c r="N101" i="3"/>
  <c r="N100" i="3"/>
  <c r="N99" i="3"/>
  <c r="N97" i="3"/>
  <c r="N96" i="3"/>
  <c r="N95" i="3"/>
  <c r="N94" i="3"/>
  <c r="N93" i="3"/>
  <c r="N92" i="3"/>
  <c r="N91" i="3"/>
  <c r="N90" i="3"/>
  <c r="N89" i="3"/>
  <c r="N88" i="3"/>
  <c r="N87" i="3"/>
  <c r="N86" i="3"/>
  <c r="N85" i="3"/>
  <c r="N84" i="3"/>
  <c r="N83" i="3"/>
  <c r="N81" i="3"/>
  <c r="N80" i="3"/>
  <c r="N79" i="3"/>
  <c r="N78" i="3"/>
  <c r="N77" i="3"/>
  <c r="N76" i="3"/>
  <c r="N75" i="3"/>
  <c r="N74" i="3"/>
  <c r="N73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4" i="3"/>
  <c r="N33" i="3"/>
  <c r="N32" i="3"/>
  <c r="N31" i="3"/>
  <c r="N30" i="3"/>
  <c r="N29" i="3"/>
  <c r="N28" i="3"/>
  <c r="N27" i="3"/>
  <c r="N26" i="3"/>
  <c r="N25" i="3"/>
  <c r="N24" i="3"/>
  <c r="N22" i="3"/>
  <c r="N21" i="3"/>
  <c r="N20" i="3"/>
  <c r="N19" i="3"/>
  <c r="N18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M105" i="3"/>
  <c r="M104" i="3"/>
  <c r="M103" i="3"/>
  <c r="M102" i="3"/>
  <c r="M101" i="3"/>
  <c r="M100" i="3"/>
  <c r="M99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1" i="3"/>
  <c r="M80" i="3"/>
  <c r="M79" i="3"/>
  <c r="M78" i="3"/>
  <c r="M77" i="3"/>
  <c r="M76" i="3"/>
  <c r="M75" i="3"/>
  <c r="M74" i="3"/>
  <c r="M73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4" i="3"/>
  <c r="M33" i="3"/>
  <c r="M32" i="3"/>
  <c r="M31" i="3"/>
  <c r="M30" i="3"/>
  <c r="M29" i="3"/>
  <c r="M28" i="3"/>
  <c r="M27" i="3"/>
  <c r="M26" i="3"/>
  <c r="M25" i="3"/>
  <c r="M24" i="3"/>
  <c r="M22" i="3"/>
  <c r="M21" i="3"/>
  <c r="M20" i="3"/>
  <c r="M19" i="3"/>
  <c r="M18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L105" i="3"/>
  <c r="L104" i="3"/>
  <c r="L103" i="3"/>
  <c r="L102" i="3"/>
  <c r="L101" i="3"/>
  <c r="L100" i="3"/>
  <c r="L99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1" i="3"/>
  <c r="L80" i="3"/>
  <c r="L79" i="3"/>
  <c r="L78" i="3"/>
  <c r="L77" i="3"/>
  <c r="L76" i="3"/>
  <c r="L75" i="3"/>
  <c r="L74" i="3"/>
  <c r="L73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4" i="3"/>
  <c r="L33" i="3"/>
  <c r="L32" i="3"/>
  <c r="L31" i="3"/>
  <c r="L30" i="3"/>
  <c r="L29" i="3"/>
  <c r="L28" i="3"/>
  <c r="L27" i="3"/>
  <c r="L26" i="3"/>
  <c r="L25" i="3"/>
  <c r="L24" i="3"/>
  <c r="L22" i="3"/>
  <c r="L21" i="3"/>
  <c r="L20" i="3"/>
  <c r="L19" i="3"/>
  <c r="L18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K105" i="3"/>
  <c r="K104" i="3"/>
  <c r="K103" i="3"/>
  <c r="K102" i="3"/>
  <c r="K101" i="3"/>
  <c r="K100" i="3"/>
  <c r="K99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1" i="3"/>
  <c r="K80" i="3"/>
  <c r="K79" i="3"/>
  <c r="K78" i="3"/>
  <c r="K77" i="3"/>
  <c r="K76" i="3"/>
  <c r="K75" i="3"/>
  <c r="K74" i="3"/>
  <c r="K73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4" i="3"/>
  <c r="K33" i="3"/>
  <c r="K32" i="3"/>
  <c r="K31" i="3"/>
  <c r="K30" i="3"/>
  <c r="K29" i="3"/>
  <c r="K28" i="3"/>
  <c r="K27" i="3"/>
  <c r="K26" i="3"/>
  <c r="K25" i="3"/>
  <c r="K24" i="3"/>
  <c r="K22" i="3"/>
  <c r="K21" i="3"/>
  <c r="K20" i="3"/>
  <c r="K19" i="3"/>
  <c r="K18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J105" i="3"/>
  <c r="J104" i="3"/>
  <c r="J103" i="3"/>
  <c r="J102" i="3"/>
  <c r="J101" i="3"/>
  <c r="J100" i="3"/>
  <c r="J99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1" i="3"/>
  <c r="J80" i="3"/>
  <c r="J79" i="3"/>
  <c r="J78" i="3"/>
  <c r="J77" i="3"/>
  <c r="J76" i="3"/>
  <c r="J75" i="3"/>
  <c r="J74" i="3"/>
  <c r="J73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4" i="3"/>
  <c r="J33" i="3"/>
  <c r="J32" i="3"/>
  <c r="J31" i="3"/>
  <c r="J30" i="3"/>
  <c r="J29" i="3"/>
  <c r="J28" i="3"/>
  <c r="J27" i="3"/>
  <c r="J26" i="3"/>
  <c r="J25" i="3"/>
  <c r="J24" i="3"/>
  <c r="J22" i="3"/>
  <c r="J21" i="3"/>
  <c r="J20" i="3"/>
  <c r="J19" i="3"/>
  <c r="J18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I105" i="3"/>
  <c r="I104" i="3"/>
  <c r="I103" i="3"/>
  <c r="I102" i="3"/>
  <c r="I101" i="3"/>
  <c r="I100" i="3"/>
  <c r="I99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1" i="3"/>
  <c r="I80" i="3"/>
  <c r="I79" i="3"/>
  <c r="I78" i="3"/>
  <c r="I77" i="3"/>
  <c r="I76" i="3"/>
  <c r="I75" i="3"/>
  <c r="I74" i="3"/>
  <c r="I73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4" i="3"/>
  <c r="I33" i="3"/>
  <c r="I32" i="3"/>
  <c r="I31" i="3"/>
  <c r="I30" i="3"/>
  <c r="I29" i="3"/>
  <c r="I28" i="3"/>
  <c r="I27" i="3"/>
  <c r="I26" i="3"/>
  <c r="I25" i="3"/>
  <c r="I24" i="3"/>
  <c r="I22" i="3"/>
  <c r="I21" i="3"/>
  <c r="I20" i="3"/>
  <c r="I19" i="3"/>
  <c r="I18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H22" i="3"/>
  <c r="H21" i="3"/>
  <c r="H20" i="3"/>
  <c r="H19" i="3"/>
  <c r="H18" i="3"/>
  <c r="H34" i="3"/>
  <c r="H33" i="3"/>
  <c r="H32" i="3"/>
  <c r="H31" i="3"/>
  <c r="H30" i="3"/>
  <c r="H29" i="3"/>
  <c r="H28" i="3"/>
  <c r="H27" i="3"/>
  <c r="H26" i="3"/>
  <c r="H25" i="3"/>
  <c r="H24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3" i="3"/>
  <c r="G105" i="3"/>
  <c r="G104" i="3"/>
  <c r="G103" i="3"/>
  <c r="G102" i="3"/>
  <c r="G101" i="3"/>
  <c r="G100" i="3"/>
  <c r="G99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1" i="3"/>
  <c r="G80" i="3"/>
  <c r="AB80" i="3" s="1"/>
  <c r="G79" i="3"/>
  <c r="G78" i="3"/>
  <c r="G77" i="3"/>
  <c r="G76" i="3"/>
  <c r="AB76" i="3" s="1"/>
  <c r="G75" i="3"/>
  <c r="G74" i="3"/>
  <c r="G73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4" i="3"/>
  <c r="G33" i="3"/>
  <c r="G32" i="3"/>
  <c r="G31" i="3"/>
  <c r="G30" i="3"/>
  <c r="G29" i="3"/>
  <c r="G28" i="3"/>
  <c r="G27" i="3"/>
  <c r="G26" i="3"/>
  <c r="G25" i="3"/>
  <c r="G24" i="3"/>
  <c r="G22" i="3"/>
  <c r="G21" i="3"/>
  <c r="G20" i="3"/>
  <c r="G19" i="3"/>
  <c r="G18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8" i="3"/>
  <c r="AA19" i="3"/>
  <c r="AA20" i="3"/>
  <c r="AA21" i="3"/>
  <c r="AA22" i="3"/>
  <c r="AA24" i="3"/>
  <c r="AA25" i="3"/>
  <c r="AA26" i="3"/>
  <c r="AA27" i="3"/>
  <c r="AA28" i="3"/>
  <c r="AA29" i="3"/>
  <c r="AA30" i="3"/>
  <c r="AA31" i="3"/>
  <c r="AA32" i="3"/>
  <c r="AA33" i="3"/>
  <c r="AA34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3" i="3"/>
  <c r="AB77" i="3" l="1"/>
  <c r="AB73" i="3"/>
  <c r="AB81" i="3"/>
  <c r="AB75" i="3"/>
  <c r="AB79" i="3"/>
  <c r="AB74" i="3"/>
  <c r="AB78" i="3"/>
  <c r="Z71" i="3"/>
  <c r="Z70" i="3"/>
  <c r="Z69" i="3"/>
  <c r="Z68" i="3"/>
  <c r="Z67" i="3"/>
  <c r="Z66" i="3"/>
  <c r="Z65" i="3"/>
  <c r="Z64" i="3"/>
  <c r="Z63" i="3"/>
  <c r="Z62" i="3"/>
  <c r="Z61" i="3"/>
  <c r="Z60" i="3"/>
  <c r="Z59" i="3"/>
  <c r="Z58" i="3"/>
  <c r="Z57" i="3"/>
  <c r="Z56" i="3"/>
  <c r="Z55" i="3"/>
  <c r="Z54" i="3"/>
  <c r="Z53" i="3"/>
  <c r="Z52" i="3"/>
  <c r="Z51" i="3"/>
  <c r="Z50" i="3"/>
  <c r="Z49" i="3"/>
  <c r="Z48" i="3"/>
  <c r="Z47" i="3"/>
  <c r="Z46" i="3"/>
  <c r="Z45" i="3"/>
  <c r="Z44" i="3"/>
  <c r="Z43" i="3"/>
  <c r="Z42" i="3"/>
  <c r="Z41" i="3"/>
  <c r="Z40" i="3"/>
  <c r="Z39" i="3"/>
  <c r="Z38" i="3"/>
  <c r="Z37" i="3"/>
  <c r="Z36" i="3"/>
  <c r="Z28" i="3"/>
  <c r="Z27" i="3"/>
  <c r="Z26" i="3"/>
  <c r="Z25" i="3"/>
  <c r="Z24" i="3"/>
  <c r="Z22" i="3"/>
  <c r="Z21" i="3"/>
  <c r="Z20" i="3"/>
  <c r="Z19" i="3"/>
  <c r="Z18" i="3"/>
  <c r="Z16" i="3"/>
  <c r="Z15" i="3"/>
  <c r="Z14" i="3"/>
  <c r="Z13" i="3"/>
  <c r="Z12" i="3"/>
  <c r="Z11" i="3"/>
  <c r="Z10" i="3"/>
  <c r="Z9" i="3"/>
  <c r="Z8" i="3"/>
  <c r="Z7" i="3"/>
  <c r="Z6" i="3"/>
  <c r="Z5" i="3"/>
  <c r="Z4" i="3"/>
  <c r="Z3" i="3"/>
  <c r="Y16" i="3"/>
  <c r="Y15" i="3"/>
  <c r="Y14" i="3"/>
  <c r="Y13" i="3"/>
  <c r="Y12" i="3"/>
  <c r="Y11" i="3"/>
  <c r="Y10" i="3"/>
  <c r="Y9" i="3"/>
  <c r="Y8" i="3"/>
  <c r="Y7" i="3"/>
  <c r="Y6" i="3"/>
  <c r="Y5" i="3"/>
  <c r="Y4" i="3"/>
  <c r="Y71" i="3"/>
  <c r="Y70" i="3"/>
  <c r="Y69" i="3"/>
  <c r="Y68" i="3"/>
  <c r="Y67" i="3"/>
  <c r="Y66" i="3"/>
  <c r="Y65" i="3"/>
  <c r="Y64" i="3"/>
  <c r="Y63" i="3"/>
  <c r="Y62" i="3"/>
  <c r="Y61" i="3"/>
  <c r="Y60" i="3"/>
  <c r="Y59" i="3"/>
  <c r="Y58" i="3"/>
  <c r="Y57" i="3"/>
  <c r="Y56" i="3"/>
  <c r="Y55" i="3"/>
  <c r="Y54" i="3"/>
  <c r="Y53" i="3"/>
  <c r="Y52" i="3"/>
  <c r="Y51" i="3"/>
  <c r="Y50" i="3"/>
  <c r="Y49" i="3"/>
  <c r="Y48" i="3"/>
  <c r="Y47" i="3"/>
  <c r="Y46" i="3"/>
  <c r="Y45" i="3"/>
  <c r="Y44" i="3"/>
  <c r="Y43" i="3"/>
  <c r="Y42" i="3"/>
  <c r="Y41" i="3"/>
  <c r="Y40" i="3"/>
  <c r="Y39" i="3"/>
  <c r="Y38" i="3"/>
  <c r="Y37" i="3"/>
  <c r="Y36" i="3"/>
  <c r="Y34" i="3"/>
  <c r="Y33" i="3"/>
  <c r="Y32" i="3"/>
  <c r="Y31" i="3"/>
  <c r="Y30" i="3"/>
  <c r="Y29" i="3"/>
  <c r="Y28" i="3"/>
  <c r="Y27" i="3"/>
  <c r="Y26" i="3"/>
  <c r="Y25" i="3"/>
  <c r="Y24" i="3"/>
  <c r="Y22" i="3"/>
  <c r="Y21" i="3"/>
  <c r="Y20" i="3"/>
  <c r="Y19" i="3"/>
  <c r="Y18" i="3"/>
  <c r="Y3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36" i="3"/>
  <c r="X25" i="3"/>
  <c r="X26" i="3"/>
  <c r="X27" i="3"/>
  <c r="X28" i="3"/>
  <c r="X29" i="3"/>
  <c r="X30" i="3"/>
  <c r="X31" i="3"/>
  <c r="X32" i="3"/>
  <c r="X33" i="3"/>
  <c r="X34" i="3"/>
  <c r="X24" i="3"/>
  <c r="X19" i="3"/>
  <c r="X20" i="3"/>
  <c r="X21" i="3"/>
  <c r="X22" i="3"/>
  <c r="X18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3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36" i="3"/>
  <c r="W25" i="3"/>
  <c r="W26" i="3"/>
  <c r="W27" i="3"/>
  <c r="W28" i="3"/>
  <c r="W29" i="3"/>
  <c r="W30" i="3"/>
  <c r="W31" i="3"/>
  <c r="W32" i="3"/>
  <c r="W33" i="3"/>
  <c r="W34" i="3"/>
  <c r="W24" i="3"/>
  <c r="W19" i="3"/>
  <c r="W20" i="3"/>
  <c r="W21" i="3"/>
  <c r="W22" i="3"/>
  <c r="W18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3" i="3"/>
  <c r="AE101" i="3"/>
  <c r="AE105" i="3"/>
  <c r="AE104" i="3"/>
  <c r="AE103" i="3"/>
  <c r="AE102" i="3"/>
  <c r="AE100" i="3"/>
  <c r="AE99" i="3"/>
  <c r="AE97" i="3"/>
  <c r="AE96" i="3"/>
  <c r="AE95" i="3"/>
  <c r="AE94" i="3"/>
  <c r="AE93" i="3"/>
  <c r="AE92" i="3"/>
  <c r="AE91" i="3"/>
  <c r="AE90" i="3"/>
  <c r="AE89" i="3"/>
  <c r="AE88" i="3"/>
  <c r="AE87" i="3"/>
  <c r="AE86" i="3"/>
  <c r="AE85" i="3"/>
  <c r="AE84" i="3"/>
  <c r="AE83" i="3"/>
  <c r="AE81" i="3"/>
  <c r="AE80" i="3"/>
  <c r="AE79" i="3"/>
  <c r="AE78" i="3"/>
  <c r="AE77" i="3"/>
  <c r="AE76" i="3"/>
  <c r="AE75" i="3"/>
  <c r="AE74" i="3"/>
  <c r="AE73" i="3"/>
  <c r="Z34" i="3"/>
  <c r="Z33" i="3"/>
  <c r="Z32" i="3"/>
  <c r="Z31" i="3"/>
  <c r="Z30" i="3"/>
  <c r="Z29" i="3"/>
  <c r="AB5" i="3" l="1"/>
  <c r="AC5" i="3" s="1"/>
  <c r="AF5" i="3" s="1"/>
  <c r="AB29" i="3"/>
  <c r="AC29" i="3" s="1"/>
  <c r="AF29" i="3" s="1"/>
  <c r="AB65" i="3"/>
  <c r="AC65" i="3" s="1"/>
  <c r="AF65" i="3" s="1"/>
  <c r="AB53" i="3"/>
  <c r="AC53" i="3" s="1"/>
  <c r="AF53" i="3" s="1"/>
  <c r="AB41" i="3"/>
  <c r="AC41" i="3" s="1"/>
  <c r="AF41" i="3" s="1"/>
  <c r="AB54" i="3"/>
  <c r="AC54" i="3" s="1"/>
  <c r="AF54" i="3" s="1"/>
  <c r="AB66" i="3"/>
  <c r="AC66" i="3" s="1"/>
  <c r="AF66" i="3" s="1"/>
  <c r="AB3" i="3"/>
  <c r="AC3" i="3" s="1"/>
  <c r="AF3" i="3" s="1"/>
  <c r="AB42" i="3"/>
  <c r="AC42" i="3" s="1"/>
  <c r="AF42" i="3" s="1"/>
  <c r="AB30" i="3"/>
  <c r="AC30" i="3" s="1"/>
  <c r="AF30" i="3" s="1"/>
  <c r="AB18" i="3"/>
  <c r="AC18" i="3" s="1"/>
  <c r="AF18" i="3" s="1"/>
  <c r="AB64" i="3"/>
  <c r="AC64" i="3" s="1"/>
  <c r="AF64" i="3" s="1"/>
  <c r="AB40" i="3"/>
  <c r="AC40" i="3" s="1"/>
  <c r="AF40" i="3" s="1"/>
  <c r="AB27" i="3"/>
  <c r="AC27" i="3" s="1"/>
  <c r="AF27" i="3" s="1"/>
  <c r="AB28" i="3"/>
  <c r="AC28" i="3" s="1"/>
  <c r="AF28" i="3" s="1"/>
  <c r="AB52" i="3"/>
  <c r="AC52" i="3" s="1"/>
  <c r="AF52" i="3" s="1"/>
  <c r="AB12" i="3"/>
  <c r="AC12" i="3" s="1"/>
  <c r="AF12" i="3" s="1"/>
  <c r="AB15" i="3"/>
  <c r="AC15" i="3" s="1"/>
  <c r="AF15" i="3" s="1"/>
  <c r="AB14" i="3"/>
  <c r="AC14" i="3" s="1"/>
  <c r="AF14" i="3" s="1"/>
  <c r="AB22" i="3"/>
  <c r="AC22" i="3" s="1"/>
  <c r="AF22" i="3" s="1"/>
  <c r="AB63" i="3"/>
  <c r="AC63" i="3" s="1"/>
  <c r="AF63" i="3" s="1"/>
  <c r="AB51" i="3"/>
  <c r="AC51" i="3" s="1"/>
  <c r="AF51" i="3" s="1"/>
  <c r="AB39" i="3"/>
  <c r="AC39" i="3" s="1"/>
  <c r="AF39" i="3" s="1"/>
  <c r="AB13" i="3"/>
  <c r="AC13" i="3" s="1"/>
  <c r="AF13" i="3" s="1"/>
  <c r="AB21" i="3"/>
  <c r="AC21" i="3" s="1"/>
  <c r="AF21" i="3" s="1"/>
  <c r="AB26" i="3"/>
  <c r="AC26" i="3" s="1"/>
  <c r="AF26" i="3" s="1"/>
  <c r="AB62" i="3"/>
  <c r="AC62" i="3" s="1"/>
  <c r="AF62" i="3" s="1"/>
  <c r="AB50" i="3"/>
  <c r="AC50" i="3" s="1"/>
  <c r="AF50" i="3" s="1"/>
  <c r="AB38" i="3"/>
  <c r="AC38" i="3" s="1"/>
  <c r="AF38" i="3" s="1"/>
  <c r="AB20" i="3"/>
  <c r="AC20" i="3" s="1"/>
  <c r="AF20" i="3" s="1"/>
  <c r="AB25" i="3"/>
  <c r="AC25" i="3" s="1"/>
  <c r="AF25" i="3" s="1"/>
  <c r="AB61" i="3"/>
  <c r="AC61" i="3" s="1"/>
  <c r="AF61" i="3" s="1"/>
  <c r="AB49" i="3"/>
  <c r="AC49" i="3" s="1"/>
  <c r="AF49" i="3" s="1"/>
  <c r="AB37" i="3"/>
  <c r="AC37" i="3" s="1"/>
  <c r="AF37" i="3" s="1"/>
  <c r="AB8" i="3"/>
  <c r="AC8" i="3" s="1"/>
  <c r="AF8" i="3" s="1"/>
  <c r="AB10" i="3"/>
  <c r="AC10" i="3" s="1"/>
  <c r="AF10" i="3" s="1"/>
  <c r="AB16" i="3"/>
  <c r="AC16" i="3" s="1"/>
  <c r="AF16" i="3" s="1"/>
  <c r="AB4" i="3"/>
  <c r="AC4" i="3" s="1"/>
  <c r="AF4" i="3" s="1"/>
  <c r="AB11" i="3"/>
  <c r="AC11" i="3" s="1"/>
  <c r="AF11" i="3" s="1"/>
  <c r="AB19" i="3"/>
  <c r="AC19" i="3" s="1"/>
  <c r="AF19" i="3" s="1"/>
  <c r="AB36" i="3"/>
  <c r="AC36" i="3" s="1"/>
  <c r="AF36" i="3" s="1"/>
  <c r="AB60" i="3"/>
  <c r="AC60" i="3" s="1"/>
  <c r="AF60" i="3" s="1"/>
  <c r="AB48" i="3"/>
  <c r="AC48" i="3" s="1"/>
  <c r="AF48" i="3" s="1"/>
  <c r="AB24" i="3"/>
  <c r="AC24" i="3" s="1"/>
  <c r="AF24" i="3" s="1"/>
  <c r="AB71" i="3"/>
  <c r="AC71" i="3" s="1"/>
  <c r="AF71" i="3" s="1"/>
  <c r="AB59" i="3"/>
  <c r="AC59" i="3" s="1"/>
  <c r="AF59" i="3" s="1"/>
  <c r="AB47" i="3"/>
  <c r="AC47" i="3" s="1"/>
  <c r="AF47" i="3" s="1"/>
  <c r="AB9" i="3"/>
  <c r="AC9" i="3" s="1"/>
  <c r="AF9" i="3" s="1"/>
  <c r="AB34" i="3"/>
  <c r="AC34" i="3" s="1"/>
  <c r="AF34" i="3" s="1"/>
  <c r="AB70" i="3"/>
  <c r="AC70" i="3" s="1"/>
  <c r="AF70" i="3" s="1"/>
  <c r="AB58" i="3"/>
  <c r="AC58" i="3" s="1"/>
  <c r="AF58" i="3" s="1"/>
  <c r="AB46" i="3"/>
  <c r="AC46" i="3" s="1"/>
  <c r="AF46" i="3" s="1"/>
  <c r="AB33" i="3"/>
  <c r="AC33" i="3" s="1"/>
  <c r="AF33" i="3" s="1"/>
  <c r="AB69" i="3"/>
  <c r="AC69" i="3" s="1"/>
  <c r="AF69" i="3" s="1"/>
  <c r="AB57" i="3"/>
  <c r="AC57" i="3" s="1"/>
  <c r="AF57" i="3" s="1"/>
  <c r="AB45" i="3"/>
  <c r="AC45" i="3" s="1"/>
  <c r="AF45" i="3" s="1"/>
  <c r="AB7" i="3"/>
  <c r="AC7" i="3" s="1"/>
  <c r="AF7" i="3" s="1"/>
  <c r="AB32" i="3"/>
  <c r="AC32" i="3" s="1"/>
  <c r="AF32" i="3" s="1"/>
  <c r="AB68" i="3"/>
  <c r="AC68" i="3" s="1"/>
  <c r="AF68" i="3" s="1"/>
  <c r="AB56" i="3"/>
  <c r="AC56" i="3" s="1"/>
  <c r="AF56" i="3" s="1"/>
  <c r="AB44" i="3"/>
  <c r="AC44" i="3" s="1"/>
  <c r="AF44" i="3" s="1"/>
  <c r="AB6" i="3"/>
  <c r="AC6" i="3" s="1"/>
  <c r="AF6" i="3" s="1"/>
  <c r="AB31" i="3"/>
  <c r="AC31" i="3" s="1"/>
  <c r="AF31" i="3" s="1"/>
  <c r="AB67" i="3"/>
  <c r="AC67" i="3" s="1"/>
  <c r="AF67" i="3" s="1"/>
  <c r="AB55" i="3"/>
  <c r="AC55" i="3" s="1"/>
  <c r="AF55" i="3" s="1"/>
  <c r="AB43" i="3"/>
  <c r="AC43" i="3" s="1"/>
  <c r="AF43" i="3" s="1"/>
  <c r="AB103" i="3"/>
  <c r="AC103" i="3" s="1"/>
  <c r="AC81" i="3"/>
  <c r="AF81" i="3" s="1"/>
  <c r="AB84" i="3"/>
  <c r="AC84" i="3" s="1"/>
  <c r="AF84" i="3" s="1"/>
  <c r="AB105" i="3"/>
  <c r="AC105" i="3" s="1"/>
  <c r="AF105" i="3" s="1"/>
  <c r="AB96" i="3"/>
  <c r="AC96" i="3" s="1"/>
  <c r="AF96" i="3" s="1"/>
  <c r="AB99" i="3"/>
  <c r="AC99" i="3" s="1"/>
  <c r="AF99" i="3" s="1"/>
  <c r="AB94" i="3"/>
  <c r="AC94" i="3" s="1"/>
  <c r="AF94" i="3" s="1"/>
  <c r="AC73" i="3"/>
  <c r="AF73" i="3" s="1"/>
  <c r="AB95" i="3"/>
  <c r="AC95" i="3" s="1"/>
  <c r="AF95" i="3" s="1"/>
  <c r="AC80" i="3"/>
  <c r="AF80" i="3" s="1"/>
  <c r="AB93" i="3"/>
  <c r="AC93" i="3" s="1"/>
  <c r="AF93" i="3" s="1"/>
  <c r="AB97" i="3"/>
  <c r="AC97" i="3" s="1"/>
  <c r="AF97" i="3" s="1"/>
  <c r="AC79" i="3"/>
  <c r="AF79" i="3" s="1"/>
  <c r="AC78" i="3"/>
  <c r="AF78" i="3" s="1"/>
  <c r="AC77" i="3"/>
  <c r="AF77" i="3" s="1"/>
  <c r="AB101" i="3"/>
  <c r="AC101" i="3" s="1"/>
  <c r="AF101" i="3" s="1"/>
  <c r="AB104" i="3"/>
  <c r="AC104" i="3" s="1"/>
  <c r="AF104" i="3" s="1"/>
  <c r="AB91" i="3"/>
  <c r="AC91" i="3" s="1"/>
  <c r="AF91" i="3" s="1"/>
  <c r="AB90" i="3"/>
  <c r="AC90" i="3" s="1"/>
  <c r="AF90" i="3" s="1"/>
  <c r="AB92" i="3"/>
  <c r="AC92" i="3" s="1"/>
  <c r="AF92" i="3" s="1"/>
  <c r="AB102" i="3"/>
  <c r="AC102" i="3" s="1"/>
  <c r="AF102" i="3" s="1"/>
  <c r="AC76" i="3"/>
  <c r="AF76" i="3" s="1"/>
  <c r="AB89" i="3"/>
  <c r="AC89" i="3" s="1"/>
  <c r="AF89" i="3" s="1"/>
  <c r="AB100" i="3"/>
  <c r="AC100" i="3" s="1"/>
  <c r="AF100" i="3" s="1"/>
  <c r="AC75" i="3"/>
  <c r="AF75" i="3" s="1"/>
  <c r="AB88" i="3"/>
  <c r="AC88" i="3" s="1"/>
  <c r="AF88" i="3" s="1"/>
  <c r="AC74" i="3"/>
  <c r="AF74" i="3" s="1"/>
  <c r="AB87" i="3"/>
  <c r="AC87" i="3" s="1"/>
  <c r="AF87" i="3" s="1"/>
  <c r="AB83" i="3"/>
  <c r="AC83" i="3" s="1"/>
  <c r="AF83" i="3" s="1"/>
  <c r="AB86" i="3"/>
  <c r="AC86" i="3" s="1"/>
  <c r="AF86" i="3" s="1"/>
  <c r="AB85" i="3"/>
  <c r="AC85" i="3" s="1"/>
  <c r="AF85" i="3" s="1"/>
  <c r="AD103" i="3" l="1"/>
  <c r="AF103" i="3"/>
  <c r="AD40" i="3"/>
  <c r="AI40" i="3"/>
  <c r="AG40" i="3"/>
  <c r="AD61" i="3"/>
  <c r="AI61" i="3"/>
  <c r="AG61" i="3"/>
  <c r="AG30" i="3"/>
  <c r="AI30" i="3"/>
  <c r="AD95" i="3"/>
  <c r="AI95" i="3"/>
  <c r="AG95" i="3"/>
  <c r="AG67" i="3"/>
  <c r="AI67" i="3"/>
  <c r="AG84" i="3"/>
  <c r="AI84" i="3"/>
  <c r="AI88" i="3"/>
  <c r="AG88" i="3"/>
  <c r="AD44" i="3"/>
  <c r="AI44" i="3"/>
  <c r="AG44" i="3"/>
  <c r="AI81" i="3"/>
  <c r="AG81" i="3"/>
  <c r="AI37" i="3"/>
  <c r="AG37" i="3"/>
  <c r="AG62" i="3"/>
  <c r="AI62" i="3"/>
  <c r="AG85" i="3"/>
  <c r="AI85" i="3"/>
  <c r="AI42" i="3"/>
  <c r="AG42" i="3"/>
  <c r="AG36" i="3"/>
  <c r="AI36" i="3"/>
  <c r="AI21" i="3"/>
  <c r="AG21" i="3"/>
  <c r="AI64" i="3"/>
  <c r="AG64" i="3"/>
  <c r="AI77" i="3"/>
  <c r="AG77" i="3"/>
  <c r="AG60" i="3"/>
  <c r="AI60" i="3"/>
  <c r="AG50" i="3"/>
  <c r="AI50" i="3"/>
  <c r="AI54" i="3"/>
  <c r="AG54" i="3"/>
  <c r="AI97" i="3"/>
  <c r="AG97" i="3"/>
  <c r="AG11" i="3"/>
  <c r="AI11" i="3"/>
  <c r="AG38" i="3"/>
  <c r="AI38" i="3"/>
  <c r="AI66" i="3"/>
  <c r="AG66" i="3"/>
  <c r="AI6" i="3"/>
  <c r="AG6" i="3"/>
  <c r="AG93" i="3"/>
  <c r="AI93" i="3"/>
  <c r="AI86" i="3"/>
  <c r="AG86" i="3"/>
  <c r="AI78" i="3"/>
  <c r="AG78" i="3"/>
  <c r="AG12" i="3"/>
  <c r="AI12" i="3"/>
  <c r="AG9" i="3"/>
  <c r="AI9" i="3"/>
  <c r="AG83" i="3"/>
  <c r="AI83" i="3"/>
  <c r="AI75" i="3"/>
  <c r="AG75" i="3"/>
  <c r="AD5" i="3"/>
  <c r="AG5" i="3"/>
  <c r="AI5" i="3"/>
  <c r="AI56" i="3"/>
  <c r="AG56" i="3"/>
  <c r="AD105" i="3"/>
  <c r="AI105" i="3"/>
  <c r="AG105" i="3"/>
  <c r="AG25" i="3"/>
  <c r="AI25" i="3"/>
  <c r="AI51" i="3"/>
  <c r="AG51" i="3"/>
  <c r="AI53" i="3"/>
  <c r="AG53" i="3"/>
  <c r="AI3" i="3"/>
  <c r="AG3" i="3"/>
  <c r="AI32" i="3"/>
  <c r="AG32" i="3"/>
  <c r="AI7" i="3"/>
  <c r="AG7" i="3"/>
  <c r="AG46" i="3"/>
  <c r="AI46" i="3"/>
  <c r="AI26" i="3"/>
  <c r="AG26" i="3"/>
  <c r="AI63" i="3"/>
  <c r="AG63" i="3"/>
  <c r="AI65" i="3"/>
  <c r="AG65" i="3"/>
  <c r="AI102" i="3"/>
  <c r="AG102" i="3"/>
  <c r="AI104" i="3"/>
  <c r="AG104" i="3"/>
  <c r="AI79" i="3"/>
  <c r="AG79" i="3"/>
  <c r="AI73" i="3"/>
  <c r="AG73" i="3"/>
  <c r="AI58" i="3"/>
  <c r="AG58" i="3"/>
  <c r="AG94" i="3"/>
  <c r="AI94" i="3"/>
  <c r="AI22" i="3"/>
  <c r="AG22" i="3"/>
  <c r="AG4" i="3"/>
  <c r="AI4" i="3"/>
  <c r="AG43" i="3"/>
  <c r="AI43" i="3"/>
  <c r="AD45" i="3"/>
  <c r="AG45" i="3"/>
  <c r="AI45" i="3"/>
  <c r="AI57" i="3"/>
  <c r="AG57" i="3"/>
  <c r="AI70" i="3"/>
  <c r="AG70" i="3"/>
  <c r="AI34" i="3"/>
  <c r="AG34" i="3"/>
  <c r="AI14" i="3"/>
  <c r="AG14" i="3"/>
  <c r="AG16" i="3"/>
  <c r="AI16" i="3"/>
  <c r="AI68" i="3"/>
  <c r="AG68" i="3"/>
  <c r="AI33" i="3"/>
  <c r="AG33" i="3"/>
  <c r="AG8" i="3"/>
  <c r="AI8" i="3"/>
  <c r="AI27" i="3"/>
  <c r="AG27" i="3"/>
  <c r="AI87" i="3"/>
  <c r="AG87" i="3"/>
  <c r="AI92" i="3"/>
  <c r="AG92" i="3"/>
  <c r="AG101" i="3"/>
  <c r="AI101" i="3"/>
  <c r="AI20" i="3"/>
  <c r="AG20" i="3"/>
  <c r="AD71" i="3"/>
  <c r="AI71" i="3"/>
  <c r="AG71" i="3"/>
  <c r="AG13" i="3"/>
  <c r="AI13" i="3"/>
  <c r="AI74" i="3"/>
  <c r="AG74" i="3"/>
  <c r="AI89" i="3"/>
  <c r="AG89" i="3"/>
  <c r="AI69" i="3"/>
  <c r="AG69" i="3"/>
  <c r="AG48" i="3"/>
  <c r="AI48" i="3"/>
  <c r="AD28" i="3"/>
  <c r="AI28" i="3"/>
  <c r="AG28" i="3"/>
  <c r="AD10" i="3"/>
  <c r="AI10" i="3"/>
  <c r="AG10" i="3"/>
  <c r="AI59" i="3"/>
  <c r="AG59" i="3"/>
  <c r="AI90" i="3"/>
  <c r="AG90" i="3"/>
  <c r="AI29" i="3"/>
  <c r="AG29" i="3"/>
  <c r="AI103" i="3"/>
  <c r="AG103" i="3"/>
  <c r="AI18" i="3"/>
  <c r="AG18" i="3"/>
  <c r="AG55" i="3"/>
  <c r="AI55" i="3"/>
  <c r="AD96" i="3"/>
  <c r="AG96" i="3"/>
  <c r="AI96" i="3"/>
  <c r="AI15" i="3"/>
  <c r="AG15" i="3"/>
  <c r="AG31" i="3"/>
  <c r="AI31" i="3"/>
  <c r="AD100" i="3"/>
  <c r="AG100" i="3"/>
  <c r="AI100" i="3"/>
  <c r="AI91" i="3"/>
  <c r="AG91" i="3"/>
  <c r="AG80" i="3"/>
  <c r="AI80" i="3"/>
  <c r="AI49" i="3"/>
  <c r="AG49" i="3"/>
  <c r="AG39" i="3"/>
  <c r="AI39" i="3"/>
  <c r="AI52" i="3"/>
  <c r="AG52" i="3"/>
  <c r="AI76" i="3"/>
  <c r="AG76" i="3"/>
  <c r="AI47" i="3"/>
  <c r="AG47" i="3"/>
  <c r="AG19" i="3"/>
  <c r="AI19" i="3"/>
  <c r="AI41" i="3"/>
  <c r="AG41" i="3"/>
  <c r="AG99" i="3"/>
  <c r="AI99" i="3"/>
  <c r="AG24" i="3"/>
  <c r="AI24" i="3"/>
  <c r="AD47" i="3"/>
  <c r="AD88" i="3"/>
  <c r="AD27" i="3"/>
  <c r="AD7" i="3"/>
  <c r="AD85" i="3"/>
  <c r="AD63" i="3"/>
  <c r="AD9" i="3"/>
  <c r="AD29" i="3"/>
  <c r="AD104" i="3"/>
  <c r="AD69" i="3"/>
  <c r="AD6" i="3"/>
  <c r="AD22" i="3"/>
  <c r="AD59" i="3"/>
  <c r="AD68" i="3"/>
  <c r="AD19" i="3"/>
  <c r="AD8" i="3"/>
  <c r="AD55" i="3"/>
  <c r="AD83" i="3"/>
  <c r="AD57" i="3"/>
  <c r="AD34" i="3"/>
  <c r="AD94" i="3"/>
  <c r="AD62" i="3"/>
  <c r="AD79" i="3"/>
  <c r="AD101" i="3"/>
  <c r="AD49" i="3"/>
  <c r="AD50" i="3"/>
  <c r="AD42" i="3"/>
  <c r="AD65" i="3"/>
  <c r="AD56" i="3"/>
  <c r="AD53" i="3"/>
  <c r="AD16" i="3"/>
  <c r="AD21" i="3"/>
  <c r="AD60" i="3"/>
  <c r="AD32" i="3"/>
  <c r="AD20" i="3"/>
  <c r="AD90" i="3"/>
  <c r="AD67" i="3"/>
  <c r="AD30" i="3"/>
  <c r="AD25" i="3"/>
  <c r="AD76" i="3"/>
  <c r="AD52" i="3"/>
  <c r="AD91" i="3"/>
  <c r="AD93" i="3"/>
  <c r="AD18" i="3"/>
  <c r="AD87" i="3"/>
  <c r="AD77" i="3"/>
  <c r="AD66" i="3"/>
  <c r="AD89" i="3"/>
  <c r="AD54" i="3"/>
  <c r="AD11" i="3"/>
  <c r="AD86" i="3"/>
  <c r="AD4" i="3"/>
  <c r="AD37" i="3"/>
  <c r="AD64" i="3"/>
  <c r="AD26" i="3"/>
  <c r="AD84" i="3"/>
  <c r="AD13" i="3"/>
  <c r="AD48" i="3"/>
  <c r="AD81" i="3"/>
  <c r="AD74" i="3"/>
  <c r="AD46" i="3"/>
  <c r="AD31" i="3"/>
  <c r="AD14" i="3"/>
  <c r="AD12" i="3"/>
  <c r="AD80" i="3"/>
  <c r="AD43" i="3"/>
  <c r="AD99" i="3"/>
  <c r="AD92" i="3"/>
  <c r="AD70" i="3"/>
  <c r="AD73" i="3"/>
  <c r="AD51" i="3"/>
  <c r="AD36" i="3"/>
  <c r="AD38" i="3"/>
  <c r="AD33" i="3"/>
  <c r="AD24" i="3"/>
  <c r="AD78" i="3"/>
  <c r="AD39" i="3"/>
  <c r="AD75" i="3"/>
  <c r="AD15" i="3"/>
  <c r="AD58" i="3"/>
  <c r="AD102" i="3"/>
  <c r="AD41" i="3"/>
  <c r="AD97" i="3"/>
  <c r="AD3" i="3"/>
</calcChain>
</file>

<file path=xl/sharedStrings.xml><?xml version="1.0" encoding="utf-8"?>
<sst xmlns="http://schemas.openxmlformats.org/spreadsheetml/2006/main" count="1019" uniqueCount="301">
  <si>
    <t>Particulars</t>
  </si>
  <si>
    <t>oats</t>
  </si>
  <si>
    <t>vitamins</t>
  </si>
  <si>
    <t>soluble</t>
  </si>
  <si>
    <t>unit</t>
  </si>
  <si>
    <t>rda</t>
  </si>
  <si>
    <t>optimal</t>
  </si>
  <si>
    <t>whey</t>
  </si>
  <si>
    <t>total week</t>
  </si>
  <si>
    <t>per day avg</t>
  </si>
  <si>
    <t>percentage consume</t>
  </si>
  <si>
    <t>milk</t>
  </si>
  <si>
    <t>roasted chana</t>
  </si>
  <si>
    <t>soya chunks</t>
  </si>
  <si>
    <t>beetroot</t>
  </si>
  <si>
    <t>carrot</t>
  </si>
  <si>
    <t>tomato</t>
  </si>
  <si>
    <t>pomegranate</t>
  </si>
  <si>
    <t>chia</t>
  </si>
  <si>
    <t>flax</t>
  </si>
  <si>
    <t>eggs</t>
  </si>
  <si>
    <t>ghee</t>
  </si>
  <si>
    <t>per day vs rda</t>
  </si>
  <si>
    <t>per day vs optimal</t>
  </si>
  <si>
    <t>percent consume</t>
  </si>
  <si>
    <t>A (retinol only)</t>
  </si>
  <si>
    <t>fat</t>
  </si>
  <si>
    <t>mcg</t>
  </si>
  <si>
    <t>B1 (Thiamine)</t>
  </si>
  <si>
    <t>water</t>
  </si>
  <si>
    <t>mg</t>
  </si>
  <si>
    <t>B2 (Riboflavin)</t>
  </si>
  <si>
    <t>B3 (Niacin)</t>
  </si>
  <si>
    <t>B5  (Pantothenic Acid)</t>
  </si>
  <si>
    <t>B6 (pyridoxine)</t>
  </si>
  <si>
    <t>B7(biotin)</t>
  </si>
  <si>
    <t>B9(folate)</t>
  </si>
  <si>
    <t>B12</t>
  </si>
  <si>
    <t>C</t>
  </si>
  <si>
    <t>D3</t>
  </si>
  <si>
    <t>iu</t>
  </si>
  <si>
    <t>E (alpha-tocopherol)</t>
  </si>
  <si>
    <t>K1</t>
  </si>
  <si>
    <t>K2</t>
  </si>
  <si>
    <t>Macro Minerals</t>
  </si>
  <si>
    <t>calcium</t>
  </si>
  <si>
    <t>magnesium</t>
  </si>
  <si>
    <t>phosphorous</t>
  </si>
  <si>
    <t>potassium</t>
  </si>
  <si>
    <t>sodium</t>
  </si>
  <si>
    <t>Trace Minerals</t>
  </si>
  <si>
    <t>iron</t>
  </si>
  <si>
    <t>zinc</t>
  </si>
  <si>
    <t>copper</t>
  </si>
  <si>
    <t>iodine</t>
  </si>
  <si>
    <t>selenium</t>
  </si>
  <si>
    <t>chromium</t>
  </si>
  <si>
    <t>manganese</t>
  </si>
  <si>
    <t>molybdenum</t>
  </si>
  <si>
    <t>fluoride</t>
  </si>
  <si>
    <t>boron</t>
  </si>
  <si>
    <t>silicon</t>
  </si>
  <si>
    <t>Macros</t>
  </si>
  <si>
    <t>cal</t>
  </si>
  <si>
    <t>-</t>
  </si>
  <si>
    <t>gm</t>
  </si>
  <si>
    <t>carbs</t>
  </si>
  <si>
    <t>Sugars – Glucose</t>
  </si>
  <si>
    <t>sugar</t>
  </si>
  <si>
    <t>Sugars – Fructose</t>
  </si>
  <si>
    <t>Sugars – Sucrose</t>
  </si>
  <si>
    <t>Sugars – Lactose</t>
  </si>
  <si>
    <t>Starch – Fast digesting</t>
  </si>
  <si>
    <t>starch</t>
  </si>
  <si>
    <t>Starch – Slow digesting</t>
  </si>
  <si>
    <t>protien</t>
  </si>
  <si>
    <t>Leucine</t>
  </si>
  <si>
    <t>EAA</t>
  </si>
  <si>
    <t>Isoleucine</t>
  </si>
  <si>
    <t>Valine</t>
  </si>
  <si>
    <t>Lysine</t>
  </si>
  <si>
    <t>Methionine</t>
  </si>
  <si>
    <t>Threonine</t>
  </si>
  <si>
    <t>Phenylalanine</t>
  </si>
  <si>
    <t>Tryptophan</t>
  </si>
  <si>
    <t>Histidine</t>
  </si>
  <si>
    <t>Arginine</t>
  </si>
  <si>
    <t>Conditional</t>
  </si>
  <si>
    <t>Glutamine</t>
  </si>
  <si>
    <t>Glycine</t>
  </si>
  <si>
    <t>Cysteine</t>
  </si>
  <si>
    <t>Tyrosine</t>
  </si>
  <si>
    <t>fats</t>
  </si>
  <si>
    <t>Saturated Fat</t>
  </si>
  <si>
    <t>MUFA</t>
  </si>
  <si>
    <t>PUFA – Omega-3 (ALA)</t>
  </si>
  <si>
    <t>ala</t>
  </si>
  <si>
    <t>PUFA – Omega-3 (EPA+DHA)</t>
  </si>
  <si>
    <t>epa+dha</t>
  </si>
  <si>
    <t>PUFA – Omega-6 (LA)</t>
  </si>
  <si>
    <t>la</t>
  </si>
  <si>
    <t>PUFA – Omega-6 (AA)</t>
  </si>
  <si>
    <t>aa</t>
  </si>
  <si>
    <t>Ratio O6:O3</t>
  </si>
  <si>
    <t>ratio</t>
  </si>
  <si>
    <t>Ratio Sat:Unsat</t>
  </si>
  <si>
    <t>fibre</t>
  </si>
  <si>
    <t>Fiber – Soluble</t>
  </si>
  <si>
    <t>Fiber – Insoluble</t>
  </si>
  <si>
    <t>insoluble</t>
  </si>
  <si>
    <t>Resistant starch</t>
  </si>
  <si>
    <t>Glutathione</t>
  </si>
  <si>
    <t>Endogenous (needs cysteine, glycine, glutamate)</t>
  </si>
  <si>
    <t>—</t>
  </si>
  <si>
    <t>CoQ10</t>
  </si>
  <si>
    <t>Endogenous (liver makes, drops with age)</t>
  </si>
  <si>
    <t>Alpha-lipoic acid (ALA)</t>
  </si>
  <si>
    <t>Endogenous (small)</t>
  </si>
  <si>
    <t>NAC (cysteine source)</t>
  </si>
  <si>
    <t>Endogenous precursor</t>
  </si>
  <si>
    <r>
      <t>Choline</t>
    </r>
    <r>
      <rPr>
        <sz val="11"/>
        <color theme="1"/>
        <rFont val="Calibri"/>
        <family val="2"/>
        <scheme val="minor"/>
      </rPr>
      <t xml:space="preserve"> (essential, like B-vitamin)</t>
    </r>
  </si>
  <si>
    <t xml:space="preserve">Carnitine (Acetyl-L-Carnitine) </t>
  </si>
  <si>
    <t xml:space="preserve">Taurine </t>
  </si>
  <si>
    <t>PQQ</t>
  </si>
  <si>
    <t>Betaine (TMG)</t>
  </si>
  <si>
    <t>EGCG</t>
  </si>
  <si>
    <t>Exogenous (green tea catechin)</t>
  </si>
  <si>
    <t>Catechins</t>
  </si>
  <si>
    <t>Exogenous</t>
  </si>
  <si>
    <t>Proanthocyanidins</t>
  </si>
  <si>
    <t>Anthocyanins</t>
  </si>
  <si>
    <t>Quercetin</t>
  </si>
  <si>
    <t>Resveratrol</t>
  </si>
  <si>
    <t>Curcumin</t>
  </si>
  <si>
    <t>Ellagic Acid</t>
  </si>
  <si>
    <t>Chlorogenic Acid</t>
  </si>
  <si>
    <t>Isoflavones</t>
  </si>
  <si>
    <t>Exogenous (soy)</t>
  </si>
  <si>
    <t>Sulforaphane (broccoli sprouts)</t>
  </si>
  <si>
    <t>Exogenous (broccoli sprouts, Nrf2 activator)</t>
  </si>
  <si>
    <t xml:space="preserve">Phycocyanin (spirulina pigment) </t>
  </si>
  <si>
    <t>Exogenous (spirulina pigment)</t>
  </si>
  <si>
    <t xml:space="preserve">Ginsenosides (ginseng) </t>
  </si>
  <si>
    <t>Exogenous (ginseng)</t>
  </si>
  <si>
    <t xml:space="preserve">Theanine (green tea amino acid) </t>
  </si>
  <si>
    <t>Exogenous (green tea amino acid)</t>
  </si>
  <si>
    <t xml:space="preserve">Betalains (beetroot) </t>
  </si>
  <si>
    <t>Exogenous (beetroot pigment)</t>
  </si>
  <si>
    <t>Beta-carotene</t>
  </si>
  <si>
    <t>Provitamin A carotenoid</t>
  </si>
  <si>
    <t>Alpha-carotene</t>
  </si>
  <si>
    <t>Lycopene</t>
  </si>
  <si>
    <t>Exogenous antioxidant (no RDA)</t>
  </si>
  <si>
    <t>Lutein</t>
  </si>
  <si>
    <t>Exogenous (eye health)</t>
  </si>
  <si>
    <t>Zeaxanthin</t>
  </si>
  <si>
    <t>Astaxanthin</t>
  </si>
  <si>
    <t>Exogenous antioxidant (marine carotenoid)</t>
  </si>
  <si>
    <t>Beta-cryptoxanthin</t>
  </si>
  <si>
    <t>Name</t>
  </si>
  <si>
    <t>Qty</t>
  </si>
  <si>
    <t>Units</t>
  </si>
  <si>
    <t>No of times in a week</t>
  </si>
  <si>
    <t xml:space="preserve">dairy               </t>
  </si>
  <si>
    <t xml:space="preserve">legumes         </t>
  </si>
  <si>
    <t>piece</t>
  </si>
  <si>
    <t>white (rice)</t>
  </si>
  <si>
    <t xml:space="preserve">Non veg                 </t>
  </si>
  <si>
    <t>beetroot (raw)</t>
  </si>
  <si>
    <t>tomato (raw)</t>
  </si>
  <si>
    <t>carrot (raw)</t>
  </si>
  <si>
    <t>~1.7</t>
  </si>
  <si>
    <t>~2.6</t>
  </si>
  <si>
    <t>~2.4</t>
  </si>
  <si>
    <t>~6</t>
  </si>
  <si>
    <t>~0.6</t>
  </si>
  <si>
    <t>~1.2</t>
  </si>
  <si>
    <t>~1.3</t>
  </si>
  <si>
    <t>~0.4</t>
  </si>
  <si>
    <t>~1</t>
  </si>
  <si>
    <t>2.5:1</t>
  </si>
  <si>
    <t>0.6:1</t>
  </si>
  <si>
    <t>~3</t>
  </si>
  <si>
    <t>~2</t>
  </si>
  <si>
    <t>~10</t>
  </si>
  <si>
    <t>~7</t>
  </si>
  <si>
    <t>--</t>
  </si>
  <si>
    <t>skim milk powder</t>
  </si>
  <si>
    <t>3.5:1</t>
  </si>
  <si>
    <t>1.5:1</t>
  </si>
  <si>
    <t>skim powder</t>
  </si>
  <si>
    <t>0.3:1</t>
  </si>
  <si>
    <t>chana</t>
  </si>
  <si>
    <t>yellow moong</t>
  </si>
  <si>
    <t>green moong</t>
  </si>
  <si>
    <t xml:space="preserve">masoor </t>
  </si>
  <si>
    <t>rajma</t>
  </si>
  <si>
    <t>0</t>
  </si>
  <si>
    <t>0.42</t>
  </si>
  <si>
    <t>0.20</t>
  </si>
  <si>
    <t>2.1</t>
  </si>
  <si>
    <t>1.1</t>
  </si>
  <si>
    <t>0.54</t>
  </si>
  <si>
    <t>6</t>
  </si>
  <si>
    <t>625</t>
  </si>
  <si>
    <t>4</t>
  </si>
  <si>
    <t>0.6</t>
  </si>
  <si>
    <t>9</t>
  </si>
  <si>
    <t/>
  </si>
  <si>
    <t>75</t>
  </si>
  <si>
    <t>135</t>
  </si>
  <si>
    <t>405</t>
  </si>
  <si>
    <t>1150</t>
  </si>
  <si>
    <t>12</t>
  </si>
  <si>
    <t>6.9</t>
  </si>
  <si>
    <t>2.7</t>
  </si>
  <si>
    <t>0.85</t>
  </si>
  <si>
    <t>3</t>
  </si>
  <si>
    <t>1.6</t>
  </si>
  <si>
    <t>130</t>
  </si>
  <si>
    <t>40</t>
  </si>
  <si>
    <t>0.8</t>
  </si>
  <si>
    <t>7</t>
  </si>
  <si>
    <t>348</t>
  </si>
  <si>
    <t>59</t>
  </si>
  <si>
    <t>0.4</t>
  </si>
  <si>
    <t>18</t>
  </si>
  <si>
    <t>32</t>
  </si>
  <si>
    <t>24.0</t>
  </si>
  <si>
    <t>1.75</t>
  </si>
  <si>
    <t>1.05</t>
  </si>
  <si>
    <t>1.20</t>
  </si>
  <si>
    <t>1.85</t>
  </si>
  <si>
    <t>0.30</t>
  </si>
  <si>
    <t>0.95</t>
  </si>
  <si>
    <t>1.25</t>
  </si>
  <si>
    <t>0.25</t>
  </si>
  <si>
    <t>0.70</t>
  </si>
  <si>
    <t>1.95</t>
  </si>
  <si>
    <t>4.30</t>
  </si>
  <si>
    <t>0.35</t>
  </si>
  <si>
    <t>0.75</t>
  </si>
  <si>
    <t>1.3</t>
  </si>
  <si>
    <t>0.40</t>
  </si>
  <si>
    <t>0.10</t>
  </si>
  <si>
    <t>0.45</t>
  </si>
  <si>
    <t>4.5</t>
  </si>
  <si>
    <t>0.37</t>
  </si>
  <si>
    <t>16.3</t>
  </si>
  <si>
    <t>5.2</t>
  </si>
  <si>
    <t>9.4</t>
  </si>
  <si>
    <t>1.7</t>
  </si>
  <si>
    <t>0.62</t>
  </si>
  <si>
    <t>0.23</t>
  </si>
  <si>
    <t>2.2</t>
  </si>
  <si>
    <t>0.58</t>
  </si>
  <si>
    <t>640</t>
  </si>
  <si>
    <t>0.7</t>
  </si>
  <si>
    <t>10</t>
  </si>
  <si>
    <t>124</t>
  </si>
  <si>
    <t>138</t>
  </si>
  <si>
    <t>430</t>
  </si>
  <si>
    <t>1245</t>
  </si>
  <si>
    <t>15</t>
  </si>
  <si>
    <t>7.2</t>
  </si>
  <si>
    <t>2.9</t>
  </si>
  <si>
    <t>13</t>
  </si>
  <si>
    <t>1.8</t>
  </si>
  <si>
    <t>140</t>
  </si>
  <si>
    <t>45</t>
  </si>
  <si>
    <t>0.9</t>
  </si>
  <si>
    <t>8</t>
  </si>
  <si>
    <t>347</t>
  </si>
  <si>
    <t>0.5</t>
  </si>
  <si>
    <t>17</t>
  </si>
  <si>
    <t>33</t>
  </si>
  <si>
    <t>24.4</t>
  </si>
  <si>
    <t>1.80</t>
  </si>
  <si>
    <t>1.08</t>
  </si>
  <si>
    <t>1.90</t>
  </si>
  <si>
    <t>0.32</t>
  </si>
  <si>
    <t>0.98</t>
  </si>
  <si>
    <t>1.30</t>
  </si>
  <si>
    <t>0.26</t>
  </si>
  <si>
    <t>0.72</t>
  </si>
  <si>
    <t>2.05</t>
  </si>
  <si>
    <t>4.50</t>
  </si>
  <si>
    <t>0.78</t>
  </si>
  <si>
    <t>1.4</t>
  </si>
  <si>
    <t>0.38</t>
  </si>
  <si>
    <t>0.11</t>
  </si>
  <si>
    <t>0.48</t>
  </si>
  <si>
    <t>4.4</t>
  </si>
  <si>
    <t>16.8</t>
  </si>
  <si>
    <t>5.4</t>
  </si>
  <si>
    <t>9.7</t>
  </si>
  <si>
    <t>guava</t>
  </si>
  <si>
    <t>chicken</t>
  </si>
  <si>
    <t>grains</t>
  </si>
  <si>
    <t>ENTER VALUES IN GMS AND HOW MANY TIMES IN A WEEK</t>
  </si>
  <si>
    <t>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</si>
</sst>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8"/>
      <name val="Calibri"/>
      <family val="2"/>
      <scheme val="minor"/>
    </font>
    <font>
      <sz val="3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 applyAlignment="1" applyProtection="1">
      <alignment horizontal="center" vertical="center"/>
      <protection locked="0"/>
    </xf>
    <xf numFmtId="0" fontId="1" fillId="2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 applyProtection="1">
      <alignment horizontal="center" vertical="center" wrapText="1"/>
      <protection locked="0"/>
    </xf>
    <xf numFmtId="0" fontId="0" fillId="3" borderId="3" xfId="0" applyFill="1" applyBorder="1"/>
    <xf numFmtId="164" fontId="0" fillId="3" borderId="3" xfId="0" applyNumberFormat="1" applyFill="1" applyBorder="1"/>
    <xf numFmtId="164" fontId="0" fillId="0" borderId="3" xfId="0" applyNumberFormat="1" applyBorder="1"/>
    <xf numFmtId="1" fontId="0" fillId="0" borderId="3" xfId="0" applyNumberFormat="1" applyBorder="1"/>
    <xf numFmtId="0" fontId="0" fillId="0" borderId="0" xfId="0" applyProtection="1">
      <protection locked="0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0" fillId="0" borderId="3" xfId="0" applyBorder="1" applyProtection="1">
      <protection locked="0"/>
    </xf>
    <xf numFmtId="0" fontId="1" fillId="2" borderId="3" xfId="0" applyFont="1" applyFill="1" applyBorder="1"/>
    <xf numFmtId="0" fontId="1" fillId="2" borderId="0" xfId="0" applyFont="1" applyFill="1"/>
    <xf numFmtId="0" fontId="4" fillId="0" borderId="3" xfId="0" applyFont="1" applyBorder="1"/>
    <xf numFmtId="0" fontId="4" fillId="0" borderId="3" xfId="0" applyFont="1" applyBorder="1" applyAlignment="1">
      <alignment vertical="top" wrapText="1"/>
    </xf>
    <xf numFmtId="20" fontId="0" fillId="0" borderId="3" xfId="0" applyNumberForma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0" fillId="0" borderId="4" xfId="0" applyBorder="1" applyProtection="1">
      <protection locked="0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3" fontId="0" fillId="0" borderId="3" xfId="0" applyNumberFormat="1" applyBorder="1"/>
    <xf numFmtId="20" fontId="0" fillId="0" borderId="3" xfId="0" applyNumberFormat="1" applyBorder="1"/>
    <xf numFmtId="0" fontId="0" fillId="0" borderId="4" xfId="0" applyBorder="1" applyAlignment="1">
      <alignment vertical="center" wrapText="1"/>
    </xf>
    <xf numFmtId="0" fontId="0" fillId="0" borderId="4" xfId="0" applyBorder="1"/>
    <xf numFmtId="164" fontId="0" fillId="0" borderId="4" xfId="0" applyNumberFormat="1" applyBorder="1"/>
    <xf numFmtId="1" fontId="0" fillId="0" borderId="4" xfId="0" applyNumberFormat="1" applyBorder="1"/>
    <xf numFmtId="0" fontId="1" fillId="2" borderId="5" xfId="0" applyFont="1" applyFill="1" applyBorder="1" applyAlignment="1">
      <alignment horizontal="center" vertical="center" wrapText="1"/>
    </xf>
    <xf numFmtId="0" fontId="0" fillId="3" borderId="4" xfId="0" applyFill="1" applyBorder="1"/>
    <xf numFmtId="164" fontId="0" fillId="0" borderId="4" xfId="0" applyNumberFormat="1" applyBorder="1" applyProtection="1">
      <protection locked="0"/>
    </xf>
    <xf numFmtId="0" fontId="1" fillId="2" borderId="6" xfId="0" applyFont="1" applyFill="1" applyBorder="1" applyAlignment="1">
      <alignment horizontal="center" vertical="center" wrapText="1"/>
    </xf>
    <xf numFmtId="0" fontId="0" fillId="0" borderId="6" xfId="0" applyBorder="1" applyProtection="1">
      <protection locked="0"/>
    </xf>
    <xf numFmtId="0" fontId="0" fillId="3" borderId="3" xfId="0" applyFill="1" applyBorder="1" applyAlignment="1">
      <alignment vertical="center" wrapText="1"/>
    </xf>
    <xf numFmtId="0" fontId="0" fillId="3" borderId="0" xfId="0" applyFill="1"/>
    <xf numFmtId="0" fontId="0" fillId="3" borderId="0" xfId="0" applyFill="1" applyProtection="1">
      <protection locked="0"/>
    </xf>
    <xf numFmtId="0" fontId="0" fillId="0" borderId="7" xfId="0" applyBorder="1" applyProtection="1">
      <protection locked="0"/>
    </xf>
    <xf numFmtId="0" fontId="2" fillId="3" borderId="0" xfId="0" applyFont="1" applyFill="1" applyAlignment="1">
      <alignment horizontal="center" vertical="center"/>
    </xf>
    <xf numFmtId="0" fontId="0" fillId="0" borderId="8" xfId="0" applyBorder="1" applyProtection="1">
      <protection locked="0"/>
    </xf>
    <xf numFmtId="0" fontId="1" fillId="2" borderId="10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left" vertical="center"/>
    </xf>
    <xf numFmtId="0" fontId="7" fillId="0" borderId="0" xfId="0" applyFont="1"/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0" fillId="3" borderId="15" xfId="0" applyFill="1" applyBorder="1"/>
    <xf numFmtId="0" fontId="1" fillId="2" borderId="1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Downloads/vitamin%20tracker.xlsx" TargetMode="External"/><Relationship Id="rId2" Type="http://schemas.openxmlformats.org/officeDocument/2006/relationships/externalLinkPath" Target="file:///C:\Users\risha\OneDrive\Desktop\fitness\trackers\vitamin%20tracker.xlsx" TargetMode="External"/><Relationship Id="rId1" Type="http://schemas.openxmlformats.org/officeDocument/2006/relationships/externalLinkPath" Target="/Users/risha/Downloads/vitamin%20tra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3"/>
      <sheetName val="Sheet2"/>
      <sheetName val="Sheet1 (2)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E2CC8-E410-4BD2-9428-FF95300D1474}">
  <dimension ref="A1:J18"/>
  <sheetViews>
    <sheetView zoomScale="85" zoomScaleNormal="85" workbookViewId="0">
      <selection activeCell="S2" sqref="S2"/>
    </sheetView>
  </sheetViews>
  <sheetFormatPr defaultRowHeight="14.4" x14ac:dyDescent="0.3"/>
  <cols>
    <col min="1" max="1" width="17.6640625" customWidth="1"/>
    <col min="2" max="2" width="7.44140625" customWidth="1"/>
    <col min="3" max="3" width="9.88671875" customWidth="1"/>
    <col min="4" max="4" width="26.88671875" bestFit="1" customWidth="1"/>
    <col min="5" max="5" width="2.6640625" style="38" customWidth="1"/>
    <col min="6" max="6" width="18.6640625" customWidth="1"/>
    <col min="7" max="7" width="11.44140625" customWidth="1"/>
    <col min="8" max="8" width="12.88671875" customWidth="1"/>
    <col min="9" max="9" width="34.6640625" bestFit="1" customWidth="1"/>
  </cols>
  <sheetData>
    <row r="1" spans="1:10" ht="46.2" x14ac:dyDescent="0.85">
      <c r="A1" s="55" t="s">
        <v>299</v>
      </c>
    </row>
    <row r="3" spans="1:10" ht="31.2" x14ac:dyDescent="0.3">
      <c r="A3" s="48"/>
      <c r="B3" s="49"/>
      <c r="C3" s="51" t="s">
        <v>163</v>
      </c>
      <c r="D3" s="50"/>
      <c r="F3" s="52"/>
      <c r="G3" s="53"/>
      <c r="H3" s="54" t="s">
        <v>298</v>
      </c>
      <c r="I3" s="50"/>
    </row>
    <row r="4" spans="1:10" ht="46.5" customHeight="1" x14ac:dyDescent="0.3">
      <c r="A4" s="45" t="s">
        <v>159</v>
      </c>
      <c r="B4" s="45" t="s">
        <v>160</v>
      </c>
      <c r="C4" s="45" t="s">
        <v>161</v>
      </c>
      <c r="D4" s="45" t="s">
        <v>162</v>
      </c>
      <c r="E4" s="44"/>
      <c r="F4" s="45" t="s">
        <v>159</v>
      </c>
      <c r="G4" s="45" t="s">
        <v>160</v>
      </c>
      <c r="H4" s="45" t="s">
        <v>161</v>
      </c>
      <c r="I4" s="45" t="s">
        <v>162</v>
      </c>
    </row>
    <row r="5" spans="1:10" ht="31.2" x14ac:dyDescent="0.3">
      <c r="A5" s="35" t="s">
        <v>7</v>
      </c>
      <c r="B5" s="36">
        <v>100</v>
      </c>
      <c r="C5" s="36" t="s">
        <v>65</v>
      </c>
      <c r="D5" s="36">
        <v>1</v>
      </c>
      <c r="E5" s="41"/>
      <c r="F5" s="35" t="s">
        <v>166</v>
      </c>
      <c r="G5" s="36">
        <v>70</v>
      </c>
      <c r="H5" s="36" t="s">
        <v>65</v>
      </c>
      <c r="I5" s="36">
        <v>7</v>
      </c>
    </row>
    <row r="6" spans="1:10" ht="21" customHeight="1" x14ac:dyDescent="0.3">
      <c r="A6" s="35" t="s">
        <v>11</v>
      </c>
      <c r="B6" s="36">
        <v>150</v>
      </c>
      <c r="C6" s="36" t="s">
        <v>300</v>
      </c>
      <c r="D6" s="36">
        <v>7</v>
      </c>
      <c r="E6" s="39"/>
      <c r="F6" s="35" t="s">
        <v>1</v>
      </c>
      <c r="G6" s="36">
        <v>30</v>
      </c>
      <c r="H6" s="36" t="s">
        <v>65</v>
      </c>
      <c r="I6" s="36">
        <v>7</v>
      </c>
    </row>
    <row r="7" spans="1:10" ht="21" customHeight="1" x14ac:dyDescent="0.3">
      <c r="A7" s="35" t="s">
        <v>190</v>
      </c>
      <c r="B7" s="36">
        <v>20</v>
      </c>
      <c r="C7" s="36" t="s">
        <v>65</v>
      </c>
      <c r="D7" s="36">
        <v>7</v>
      </c>
      <c r="E7" s="39"/>
      <c r="F7" s="47" t="s">
        <v>18</v>
      </c>
      <c r="G7" s="36">
        <v>7</v>
      </c>
      <c r="H7" s="36" t="s">
        <v>65</v>
      </c>
      <c r="I7" s="36">
        <v>50</v>
      </c>
    </row>
    <row r="8" spans="1:10" ht="43.5" customHeight="1" x14ac:dyDescent="0.3">
      <c r="A8" s="48"/>
      <c r="B8" s="49"/>
      <c r="C8" s="49" t="s">
        <v>164</v>
      </c>
      <c r="D8" s="50"/>
      <c r="E8" s="39"/>
      <c r="F8" s="46" t="s">
        <v>19</v>
      </c>
      <c r="G8" s="22">
        <v>10</v>
      </c>
      <c r="H8" s="22" t="s">
        <v>65</v>
      </c>
      <c r="I8" s="22">
        <v>7</v>
      </c>
    </row>
    <row r="9" spans="1:10" ht="42.75" customHeight="1" x14ac:dyDescent="0.3">
      <c r="A9" s="23" t="s">
        <v>12</v>
      </c>
      <c r="B9" s="22">
        <v>50</v>
      </c>
      <c r="C9" s="22" t="s">
        <v>65</v>
      </c>
      <c r="D9" s="40">
        <v>5</v>
      </c>
      <c r="F9" s="25"/>
      <c r="G9" s="25"/>
      <c r="H9" s="2" t="s">
        <v>167</v>
      </c>
      <c r="I9" s="1"/>
    </row>
    <row r="10" spans="1:10" ht="21" customHeight="1" x14ac:dyDescent="0.3">
      <c r="A10" s="4" t="s">
        <v>193</v>
      </c>
      <c r="B10" s="22">
        <v>50</v>
      </c>
      <c r="C10" s="22" t="s">
        <v>65</v>
      </c>
      <c r="D10" s="40">
        <v>1</v>
      </c>
      <c r="F10" s="43" t="s">
        <v>20</v>
      </c>
      <c r="G10" s="15">
        <v>55</v>
      </c>
      <c r="H10" s="22" t="s">
        <v>165</v>
      </c>
      <c r="I10" s="22">
        <v>8</v>
      </c>
      <c r="J10" s="38"/>
    </row>
    <row r="11" spans="1:10" ht="31.2" x14ac:dyDescent="0.3">
      <c r="A11" s="4" t="s">
        <v>194</v>
      </c>
      <c r="B11" s="22">
        <v>50</v>
      </c>
      <c r="C11" s="22" t="s">
        <v>65</v>
      </c>
      <c r="D11" s="40">
        <v>1</v>
      </c>
      <c r="E11" s="41"/>
      <c r="F11" s="43" t="s">
        <v>297</v>
      </c>
      <c r="G11" s="15">
        <v>200</v>
      </c>
      <c r="H11" s="22" t="s">
        <v>65</v>
      </c>
      <c r="I11" s="22">
        <v>4</v>
      </c>
    </row>
    <row r="12" spans="1:10" ht="18.75" customHeight="1" x14ac:dyDescent="0.3">
      <c r="A12" s="4" t="s">
        <v>195</v>
      </c>
      <c r="B12" s="22">
        <v>50</v>
      </c>
      <c r="C12" s="22" t="s">
        <v>65</v>
      </c>
      <c r="D12" s="40">
        <v>1</v>
      </c>
      <c r="E12" s="39"/>
    </row>
    <row r="13" spans="1:10" ht="18.75" customHeight="1" x14ac:dyDescent="0.3">
      <c r="A13" s="4" t="s">
        <v>196</v>
      </c>
      <c r="B13" s="22">
        <v>50</v>
      </c>
      <c r="C13" s="22" t="s">
        <v>65</v>
      </c>
      <c r="D13" s="40">
        <v>1</v>
      </c>
      <c r="E13" s="39"/>
    </row>
    <row r="14" spans="1:10" ht="18.75" customHeight="1" x14ac:dyDescent="0.3">
      <c r="A14" s="4" t="s">
        <v>192</v>
      </c>
      <c r="B14" s="22">
        <v>50</v>
      </c>
      <c r="C14" s="22" t="s">
        <v>65</v>
      </c>
      <c r="D14" s="40">
        <v>1</v>
      </c>
      <c r="E14" s="39"/>
    </row>
    <row r="15" spans="1:10" ht="18.75" customHeight="1" x14ac:dyDescent="0.3">
      <c r="A15" s="24" t="s">
        <v>13</v>
      </c>
      <c r="B15" s="15">
        <v>50</v>
      </c>
      <c r="C15" s="15" t="s">
        <v>65</v>
      </c>
      <c r="D15" s="42">
        <v>5</v>
      </c>
      <c r="E15" s="39"/>
    </row>
    <row r="16" spans="1:10" ht="18.75" customHeight="1" x14ac:dyDescent="0.3">
      <c r="E16" s="39"/>
    </row>
    <row r="17" spans="5:5" ht="18.75" customHeight="1" x14ac:dyDescent="0.3">
      <c r="E17" s="39"/>
    </row>
    <row r="18" spans="5:5" ht="18.75" customHeight="1" x14ac:dyDescent="0.3">
      <c r="E18" s="39"/>
    </row>
  </sheetData>
  <phoneticPr fontId="6" type="noConversion"/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786043B1-B4D1-4D49-A478-5F625C224FD7}">
            <xm:f>NOT(ISERROR(SEARCH("+",A11)))</xm:f>
            <xm:f>"+"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" operator="containsText" id="{40E3FD44-4E73-42AD-A478-8B4CE31BC36A}">
            <xm:f>NOT(ISERROR(SEARCH("-",A11)))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A11:A14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7BA4D-3871-4BA3-BC20-AE240A7D7295}">
  <dimension ref="A1:AI105"/>
  <sheetViews>
    <sheetView tabSelected="1" zoomScale="115" zoomScaleNormal="115" workbookViewId="0">
      <pane xSplit="6" ySplit="2" topLeftCell="O3" activePane="bottomRight" state="frozen"/>
      <selection pane="topRight" activeCell="G1" sqref="G1"/>
      <selection pane="bottomLeft" activeCell="A4" sqref="A4"/>
      <selection pane="bottomRight" activeCell="AC2" sqref="AC2"/>
    </sheetView>
  </sheetViews>
  <sheetFormatPr defaultColWidth="12" defaultRowHeight="14.4" outlineLevelRow="1" x14ac:dyDescent="0.3"/>
  <cols>
    <col min="1" max="1" width="21.109375" style="12" customWidth="1"/>
    <col min="2" max="2" width="8" style="12" customWidth="1"/>
    <col min="3" max="3" width="5.88671875" style="12" customWidth="1"/>
    <col min="4" max="4" width="8.109375" style="12" customWidth="1"/>
    <col min="5" max="5" width="9.109375" style="12" customWidth="1"/>
    <col min="6" max="6" width="2.109375" style="12" hidden="1" customWidth="1"/>
    <col min="7" max="7" width="8.6640625" style="12" customWidth="1"/>
    <col min="8" max="14" width="12" style="12" customWidth="1"/>
    <col min="15" max="15" width="12.33203125" style="12" customWidth="1"/>
    <col min="16" max="22" width="12" style="12" customWidth="1"/>
    <col min="23" max="27" width="12" style="12" hidden="1" customWidth="1"/>
    <col min="28" max="35" width="12" style="12" customWidth="1"/>
    <col min="36" max="16384" width="12" style="12"/>
  </cols>
  <sheetData>
    <row r="1" spans="1:35" s="3" customFormat="1" ht="33.6" customHeight="1" x14ac:dyDescent="0.3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s="7" customFormat="1" ht="40.950000000000003" customHeight="1" x14ac:dyDescent="0.3">
      <c r="A2" s="32" t="s">
        <v>2</v>
      </c>
      <c r="B2" s="32" t="s">
        <v>3</v>
      </c>
      <c r="C2" s="32" t="s">
        <v>4</v>
      </c>
      <c r="D2" s="32" t="s">
        <v>5</v>
      </c>
      <c r="E2" s="32" t="s">
        <v>6</v>
      </c>
      <c r="F2" s="32"/>
      <c r="G2" s="32" t="s">
        <v>7</v>
      </c>
      <c r="H2" s="32" t="s">
        <v>11</v>
      </c>
      <c r="I2" s="56" t="s">
        <v>187</v>
      </c>
      <c r="J2" s="32" t="s">
        <v>1</v>
      </c>
      <c r="K2" s="32" t="s">
        <v>18</v>
      </c>
      <c r="L2" s="32" t="s">
        <v>19</v>
      </c>
      <c r="M2" s="32" t="s">
        <v>20</v>
      </c>
      <c r="N2" s="32" t="s">
        <v>297</v>
      </c>
      <c r="O2" s="32" t="s">
        <v>13</v>
      </c>
      <c r="P2" s="32" t="s">
        <v>12</v>
      </c>
      <c r="Q2" s="32" t="s">
        <v>166</v>
      </c>
      <c r="R2" s="32" t="s">
        <v>193</v>
      </c>
      <c r="S2" s="56" t="s">
        <v>194</v>
      </c>
      <c r="T2" s="32" t="s">
        <v>195</v>
      </c>
      <c r="U2" s="32" t="s">
        <v>196</v>
      </c>
      <c r="V2" s="32" t="s">
        <v>192</v>
      </c>
      <c r="W2" s="59" t="s">
        <v>15</v>
      </c>
      <c r="X2" s="35" t="s">
        <v>17</v>
      </c>
      <c r="Y2" s="35" t="s">
        <v>14</v>
      </c>
      <c r="Z2" s="35" t="s">
        <v>16</v>
      </c>
      <c r="AA2" s="60" t="s">
        <v>296</v>
      </c>
      <c r="AB2" s="32" t="s">
        <v>8</v>
      </c>
      <c r="AC2" s="57" t="s">
        <v>9</v>
      </c>
      <c r="AD2" s="32" t="s">
        <v>22</v>
      </c>
      <c r="AE2" s="32" t="s">
        <v>4</v>
      </c>
      <c r="AF2" s="32" t="s">
        <v>10</v>
      </c>
      <c r="AG2" s="32" t="s">
        <v>23</v>
      </c>
      <c r="AH2" s="32" t="s">
        <v>4</v>
      </c>
      <c r="AI2" s="32" t="s">
        <v>24</v>
      </c>
    </row>
    <row r="3" spans="1:35" x14ac:dyDescent="0.3">
      <c r="A3" s="33" t="s">
        <v>25</v>
      </c>
      <c r="B3" s="33" t="s">
        <v>26</v>
      </c>
      <c r="C3" s="33" t="s">
        <v>27</v>
      </c>
      <c r="D3" s="33">
        <v>900</v>
      </c>
      <c r="E3" s="33">
        <v>1200</v>
      </c>
      <c r="F3" s="33"/>
      <c r="G3" s="33">
        <f>IFERROR((inputs!$B$5/100) *'master data '!E2 * inputs!$D$5,0)</f>
        <v>0</v>
      </c>
      <c r="H3" s="33">
        <f>IFERROR((inputs!$B$6/100) *'master data '!F2 * inputs!$D$6,0)</f>
        <v>525</v>
      </c>
      <c r="I3" s="33">
        <f>IFERROR((inputs!$B$7/100) *'master data '!G2 * inputs!$D$7,0)</f>
        <v>63</v>
      </c>
      <c r="J3" s="33">
        <f>IFERROR((inputs!$G$6/100) *'master data '!H2 * inputs!$I$6,0)</f>
        <v>0</v>
      </c>
      <c r="K3" s="33">
        <f>IFERROR((inputs!$G$7/100) *'master data '!I2 * inputs!$I$7,0)</f>
        <v>0</v>
      </c>
      <c r="L3" s="33">
        <f>IFERROR((inputs!$G$8/100) *'master data '!J2 * inputs!$I$8,0)</f>
        <v>0</v>
      </c>
      <c r="M3" s="33">
        <f>IFERROR((inputs!$G$10/100) *'master data '!K2 * inputs!$I$10,0)</f>
        <v>704</v>
      </c>
      <c r="N3" s="33">
        <f>IFERROR((inputs!$G$11/100) *'master data '!L2 * inputs!$I$11,0)</f>
        <v>40</v>
      </c>
      <c r="O3" s="33">
        <f>IFERROR((inputs!$B$15/100) *'master data '!M2 * inputs!$D$15,0)</f>
        <v>0</v>
      </c>
      <c r="P3" s="33">
        <f>IFERROR((inputs!$B$9/100) *'master data '!N2 * inputs!$D$9,0)</f>
        <v>0</v>
      </c>
      <c r="Q3" s="33">
        <f>IFERROR((inputs!$G$5/100) *'master data '!O2 * inputs!$I$5,0)</f>
        <v>0</v>
      </c>
      <c r="R3" s="33">
        <f>IFERROR((inputs!$B$10/100) *'master data '!P2 * inputs!$D$10,0)</f>
        <v>0</v>
      </c>
      <c r="S3" s="33">
        <f>IFERROR((inputs!$B$11/100) *'master data '!Q2 * inputs!$D$11,0)</f>
        <v>0</v>
      </c>
      <c r="T3" s="33">
        <f>IFERROR((inputs!$B$12/100) *'master data '!R2 * inputs!$D$12,0)</f>
        <v>0</v>
      </c>
      <c r="U3" s="33">
        <f>IFERROR((inputs!$B$13/100) *'master data '!S2 * inputs!$D$13,0)</f>
        <v>0</v>
      </c>
      <c r="V3" s="33">
        <f>IFERROR((inputs!$B$14/100) *'master data '!T2 * inputs!$D$14,0)</f>
        <v>0</v>
      </c>
      <c r="W3" s="28">
        <f>IFERROR((#REF!/100) *'master data '!U2 *#REF!,0)</f>
        <v>0</v>
      </c>
      <c r="X3" s="28">
        <f>IFERROR((#REF!/100) *'master data '!W2 *#REF!,0)</f>
        <v>0</v>
      </c>
      <c r="Y3" s="28">
        <f>IFERROR((#REF!/100) *'master data '!X2 *#REF!,0)</f>
        <v>0</v>
      </c>
      <c r="Z3" s="28">
        <f>IFERROR((#REF!/100) *'master data '!V2 *#REF!,0)</f>
        <v>0</v>
      </c>
      <c r="AA3" s="28">
        <f>IFERROR((#REF!/100) *'master data '!Y2 *#REF!,0)</f>
        <v>0</v>
      </c>
      <c r="AB3" s="29">
        <f>SUM(G3:AA3)</f>
        <v>1332</v>
      </c>
      <c r="AC3" s="30">
        <f>AB3 /7</f>
        <v>190.28571428571428</v>
      </c>
      <c r="AD3" s="30">
        <f t="shared" ref="AD3:AD16" si="0">AC3 - D3</f>
        <v>-709.71428571428578</v>
      </c>
      <c r="AE3" s="30" t="s">
        <v>27</v>
      </c>
      <c r="AF3" s="31">
        <f>IFERROR(AC3/D3*100,"N/A")</f>
        <v>21.142857142857142</v>
      </c>
      <c r="AG3" s="34">
        <f t="shared" ref="AG3:AG16" si="1">AC3 -E3</f>
        <v>-1009.7142857142858</v>
      </c>
      <c r="AH3" s="29" t="s">
        <v>27</v>
      </c>
      <c r="AI3" s="31">
        <f t="shared" ref="AI3:AI16" si="2">AC3 /E3*100</f>
        <v>15.857142857142856</v>
      </c>
    </row>
    <row r="4" spans="1:35" x14ac:dyDescent="0.3">
      <c r="A4" s="8" t="s">
        <v>28</v>
      </c>
      <c r="B4" s="8" t="s">
        <v>29</v>
      </c>
      <c r="C4" s="8" t="s">
        <v>30</v>
      </c>
      <c r="D4" s="8">
        <v>1.2</v>
      </c>
      <c r="E4" s="8">
        <v>2</v>
      </c>
      <c r="F4" s="8"/>
      <c r="G4" s="33">
        <f>IFERROR((inputs!$B$5/100) *'master data '!E3 * inputs!$D$5,0)</f>
        <v>0.42</v>
      </c>
      <c r="H4" s="33">
        <f>IFERROR((inputs!$B$6/100) *'master data '!F3 * inputs!$D$6,0)</f>
        <v>0.42</v>
      </c>
      <c r="I4" s="33">
        <f>IFERROR((inputs!$B$7/100) *'master data '!G3 * inputs!$D$7,0)</f>
        <v>0.56000000000000005</v>
      </c>
      <c r="J4" s="33">
        <f>IFERROR((inputs!$G$6/100) *'master data '!H3 * inputs!$I$6,0)</f>
        <v>0.96600000000000008</v>
      </c>
      <c r="K4" s="33">
        <f>IFERROR((inputs!$G$7/100) *'master data '!I3 * inputs!$I$7,0)</f>
        <v>2.1</v>
      </c>
      <c r="L4" s="28">
        <f>IFERROR((inputs!$G$8/100) *'master data '!J3 * inputs!$I$8,0)</f>
        <v>0.35000000000000003</v>
      </c>
      <c r="M4" s="13">
        <f>IFERROR((inputs!$G$10/100) *'master data '!K3 * inputs!$I$10,0)</f>
        <v>0.35200000000000004</v>
      </c>
      <c r="N4" s="13">
        <f>IFERROR((inputs!$G$11/100) *'master data '!L3 * inputs!$I$11,0)</f>
        <v>0.56000000000000005</v>
      </c>
      <c r="O4" s="28">
        <f>IFERROR((inputs!$B$15/100) *'master data '!M3 * inputs!$D$15,0)</f>
        <v>2.1749999999999998</v>
      </c>
      <c r="P4" s="28">
        <f>IFERROR((inputs!$B$9/100) *'master data '!N3 * inputs!$D$9,0)</f>
        <v>0.70000000000000007</v>
      </c>
      <c r="Q4" s="28">
        <f>IFERROR((inputs!$G$5/100) *'master data '!O3 * inputs!$I$5,0)</f>
        <v>0.48999999999999994</v>
      </c>
      <c r="R4" s="28">
        <f>IFERROR((inputs!$B$10/100) *'master data '!P3 * inputs!$D$10,0)</f>
        <v>0.21</v>
      </c>
      <c r="S4" s="28">
        <f>IFERROR((inputs!$B$11/100) *'master data '!Q3 * inputs!$D$11,0)</f>
        <v>0.31</v>
      </c>
      <c r="T4" s="28">
        <f>IFERROR((inputs!$B$12/100) *'master data '!R3 * inputs!$D$12,0)</f>
        <v>0.25</v>
      </c>
      <c r="U4" s="28">
        <f>IFERROR((inputs!$B$13/100) *'master data '!S3 * inputs!$D$13,0)</f>
        <v>0.22500000000000001</v>
      </c>
      <c r="V4" s="28">
        <f>IFERROR((inputs!$B$14/100) *'master data '!T3 * inputs!$D$14,0)</f>
        <v>0.24</v>
      </c>
      <c r="W4" s="28">
        <f>IFERROR((#REF!/100) *'master data '!U3 *#REF!,0)</f>
        <v>0</v>
      </c>
      <c r="X4" s="28">
        <f>IFERROR((#REF!/100) *'master data '!W3 *#REF!,0)</f>
        <v>0</v>
      </c>
      <c r="Y4" s="28">
        <f>IFERROR((#REF!/100) *'master data '!X3 *#REF!,0)</f>
        <v>0</v>
      </c>
      <c r="Z4" s="28">
        <f>IFERROR((#REF!/100) *'master data '!V3 *#REF!,0)</f>
        <v>0</v>
      </c>
      <c r="AA4" s="28">
        <f>IFERROR((#REF!/100) *'master data '!Y3 *#REF!,0)</f>
        <v>0</v>
      </c>
      <c r="AB4" s="29">
        <f t="shared" ref="AB4:AB67" si="3">SUM(G4:AA4)</f>
        <v>10.328000000000001</v>
      </c>
      <c r="AC4" s="10">
        <f t="shared" ref="AC4:AC16" si="4">AB4 /7</f>
        <v>1.4754285714285715</v>
      </c>
      <c r="AD4" s="10">
        <f t="shared" si="0"/>
        <v>0.27542857142857158</v>
      </c>
      <c r="AE4" s="10" t="s">
        <v>30</v>
      </c>
      <c r="AF4" s="11">
        <f t="shared" ref="AF4:AF67" si="5">IFERROR(AC4/D4*100,"N/A")</f>
        <v>122.95238095238096</v>
      </c>
      <c r="AG4" s="34">
        <f t="shared" si="1"/>
        <v>-0.52457142857142847</v>
      </c>
      <c r="AH4" s="14" t="s">
        <v>30</v>
      </c>
      <c r="AI4" s="11">
        <f t="shared" si="2"/>
        <v>73.771428571428572</v>
      </c>
    </row>
    <row r="5" spans="1:35" x14ac:dyDescent="0.3">
      <c r="A5" s="8" t="s">
        <v>31</v>
      </c>
      <c r="B5" s="8" t="s">
        <v>29</v>
      </c>
      <c r="C5" s="8" t="s">
        <v>30</v>
      </c>
      <c r="D5" s="8">
        <v>1.3</v>
      </c>
      <c r="E5" s="8">
        <v>2</v>
      </c>
      <c r="F5" s="8"/>
      <c r="G5" s="33">
        <f>IFERROR((inputs!$B$5/100) *'master data '!E4 * inputs!$D$5,0)</f>
        <v>0.48</v>
      </c>
      <c r="H5" s="33">
        <f>IFERROR((inputs!$B$6/100) *'master data '!F4 * inputs!$D$6,0)</f>
        <v>1.9950000000000001</v>
      </c>
      <c r="I5" s="33">
        <f>IFERROR((inputs!$B$7/100) *'master data '!G4 * inputs!$D$7,0)</f>
        <v>2.8000000000000003</v>
      </c>
      <c r="J5" s="58">
        <f>IFERROR((inputs!$G$6/100) *'master data '!H4 * inputs!$I$6,0)</f>
        <v>0.23100000000000001</v>
      </c>
      <c r="K5" s="33">
        <f>IFERROR((inputs!$G$7/100) *'master data '!I4 * inputs!$I$7,0)</f>
        <v>0.70000000000000007</v>
      </c>
      <c r="L5" s="28">
        <f>IFERROR((inputs!$G$8/100) *'master data '!J4 * inputs!$I$8,0)</f>
        <v>0.14000000000000001</v>
      </c>
      <c r="M5" s="13">
        <f>IFERROR((inputs!$G$10/100) *'master data '!K4 * inputs!$I$10,0)</f>
        <v>1.9360000000000002</v>
      </c>
      <c r="N5" s="13">
        <f>IFERROR((inputs!$G$11/100) *'master data '!L4 * inputs!$I$11,0)</f>
        <v>0.8</v>
      </c>
      <c r="O5" s="28">
        <f>IFERROR((inputs!$B$15/100) *'master data '!M4 * inputs!$D$15,0)</f>
        <v>0.72499999999999998</v>
      </c>
      <c r="P5" s="28">
        <f>IFERROR((inputs!$B$9/100) *'master data '!N4 * inputs!$D$9,0)</f>
        <v>0.25</v>
      </c>
      <c r="Q5" s="28">
        <f>IFERROR((inputs!$G$5/100) *'master data '!O4 * inputs!$I$5,0)</f>
        <v>0.19599999999999998</v>
      </c>
      <c r="R5" s="28">
        <f>IFERROR((inputs!$B$10/100) *'master data '!P4 * inputs!$D$10,0)</f>
        <v>0.1</v>
      </c>
      <c r="S5" s="28">
        <f>IFERROR((inputs!$B$11/100) *'master data '!Q4 * inputs!$D$11,0)</f>
        <v>0.115</v>
      </c>
      <c r="T5" s="28">
        <f>IFERROR((inputs!$B$12/100) *'master data '!R4 * inputs!$D$12,0)</f>
        <v>0.105</v>
      </c>
      <c r="U5" s="28">
        <f>IFERROR((inputs!$B$13/100) *'master data '!S4 * inputs!$D$13,0)</f>
        <v>0.11</v>
      </c>
      <c r="V5" s="28">
        <f>IFERROR((inputs!$B$14/100) *'master data '!T4 * inputs!$D$14,0)</f>
        <v>0.09</v>
      </c>
      <c r="W5" s="28">
        <f>IFERROR((#REF!/100) *'master data '!U4 *#REF!,0)</f>
        <v>0</v>
      </c>
      <c r="X5" s="28">
        <f>IFERROR((#REF!/100) *'master data '!W4 *#REF!,0)</f>
        <v>0</v>
      </c>
      <c r="Y5" s="28">
        <f>IFERROR((#REF!/100) *'master data '!X4 *#REF!,0)</f>
        <v>0</v>
      </c>
      <c r="Z5" s="28">
        <f>IFERROR((#REF!/100) *'master data '!V4 *#REF!,0)</f>
        <v>0</v>
      </c>
      <c r="AA5" s="28">
        <f>IFERROR((#REF!/100) *'master data '!Y4 *#REF!,0)</f>
        <v>0</v>
      </c>
      <c r="AB5" s="29">
        <f t="shared" si="3"/>
        <v>10.773</v>
      </c>
      <c r="AC5" s="10">
        <f t="shared" si="4"/>
        <v>1.5389999999999999</v>
      </c>
      <c r="AD5" s="10">
        <f t="shared" si="0"/>
        <v>0.23899999999999988</v>
      </c>
      <c r="AE5" s="10" t="s">
        <v>30</v>
      </c>
      <c r="AF5" s="11">
        <f t="shared" si="5"/>
        <v>118.38461538461537</v>
      </c>
      <c r="AG5" s="34">
        <f t="shared" si="1"/>
        <v>-0.46100000000000008</v>
      </c>
      <c r="AH5" s="8" t="s">
        <v>30</v>
      </c>
      <c r="AI5" s="11">
        <f t="shared" si="2"/>
        <v>76.95</v>
      </c>
    </row>
    <row r="6" spans="1:35" x14ac:dyDescent="0.3">
      <c r="A6" s="8" t="s">
        <v>32</v>
      </c>
      <c r="B6" s="8" t="s">
        <v>29</v>
      </c>
      <c r="C6" s="8" t="s">
        <v>30</v>
      </c>
      <c r="D6" s="8">
        <v>16</v>
      </c>
      <c r="E6" s="8">
        <v>25</v>
      </c>
      <c r="F6" s="8"/>
      <c r="G6" s="33">
        <f>IFERROR((inputs!$B$5/100) *'master data '!E5 * inputs!$D$5,0)</f>
        <v>5.4</v>
      </c>
      <c r="H6" s="33">
        <f>IFERROR((inputs!$B$6/100) *'master data '!F5 * inputs!$D$6,0)</f>
        <v>1.0500000000000003</v>
      </c>
      <c r="I6" s="33">
        <f>IFERROR((inputs!$B$7/100) *'master data '!G5 * inputs!$D$7,0)</f>
        <v>1.4000000000000001</v>
      </c>
      <c r="J6" s="33">
        <f>IFERROR((inputs!$G$6/100) *'master data '!H5 * inputs!$I$6,0)</f>
        <v>2.1</v>
      </c>
      <c r="K6" s="33">
        <f>IFERROR((inputs!$G$7/100) *'master data '!I5 * inputs!$I$7,0)</f>
        <v>10.850000000000001</v>
      </c>
      <c r="L6" s="28">
        <f>IFERROR((inputs!$G$8/100) *'master data '!J5 * inputs!$I$8,0)</f>
        <v>2.1700000000000004</v>
      </c>
      <c r="M6" s="13">
        <f>IFERROR((inputs!$G$10/100) *'master data '!K5 * inputs!$I$10,0)</f>
        <v>0.44000000000000006</v>
      </c>
      <c r="N6" s="13">
        <f>IFERROR((inputs!$G$11/100) *'master data '!L5 * inputs!$I$11,0)</f>
        <v>86.4</v>
      </c>
      <c r="O6" s="28">
        <f>IFERROR((inputs!$B$15/100) *'master data '!M5 * inputs!$D$15,0)</f>
        <v>4</v>
      </c>
      <c r="P6" s="28">
        <f>IFERROR((inputs!$B$9/100) *'master data '!N5 * inputs!$D$9,0)</f>
        <v>4</v>
      </c>
      <c r="Q6" s="28">
        <f>IFERROR((inputs!$G$5/100) *'master data '!O5 * inputs!$I$5,0)</f>
        <v>7.3499999999999988</v>
      </c>
      <c r="R6" s="28">
        <f>IFERROR((inputs!$B$10/100) *'master data '!P5 * inputs!$D$10,0)</f>
        <v>1.05</v>
      </c>
      <c r="S6" s="28">
        <f>IFERROR((inputs!$B$11/100) *'master data '!Q5 * inputs!$D$11,0)</f>
        <v>1.1000000000000001</v>
      </c>
      <c r="T6" s="28">
        <f>IFERROR((inputs!$B$12/100) *'master data '!R5 * inputs!$D$12,0)</f>
        <v>1.3</v>
      </c>
      <c r="U6" s="28">
        <f>IFERROR((inputs!$B$13/100) *'master data '!S5 * inputs!$D$13,0)</f>
        <v>1.05</v>
      </c>
      <c r="V6" s="28">
        <f>IFERROR((inputs!$B$14/100) *'master data '!T5 * inputs!$D$14,0)</f>
        <v>0.8</v>
      </c>
      <c r="W6" s="28">
        <f>IFERROR((#REF!/100) *'master data '!U5 *#REF!,0)</f>
        <v>0</v>
      </c>
      <c r="X6" s="28">
        <f>IFERROR((#REF!/100) *'master data '!W5 *#REF!,0)</f>
        <v>0</v>
      </c>
      <c r="Y6" s="28">
        <f>IFERROR((#REF!/100) *'master data '!X5 *#REF!,0)</f>
        <v>0</v>
      </c>
      <c r="Z6" s="28">
        <f>IFERROR((#REF!/100) *'master data '!V5 *#REF!,0)</f>
        <v>0</v>
      </c>
      <c r="AA6" s="28">
        <f>IFERROR((#REF!/100) *'master data '!Y5 *#REF!,0)</f>
        <v>0</v>
      </c>
      <c r="AB6" s="29">
        <f t="shared" si="3"/>
        <v>130.46000000000004</v>
      </c>
      <c r="AC6" s="10">
        <f t="shared" si="4"/>
        <v>18.637142857142862</v>
      </c>
      <c r="AD6" s="10">
        <f t="shared" si="0"/>
        <v>2.6371428571428623</v>
      </c>
      <c r="AE6" s="10" t="s">
        <v>30</v>
      </c>
      <c r="AF6" s="11">
        <f t="shared" si="5"/>
        <v>116.48214285714289</v>
      </c>
      <c r="AG6" s="34">
        <f t="shared" si="1"/>
        <v>-6.3628571428571377</v>
      </c>
      <c r="AH6" s="8" t="s">
        <v>30</v>
      </c>
      <c r="AI6" s="11">
        <f t="shared" si="2"/>
        <v>74.548571428571449</v>
      </c>
    </row>
    <row r="7" spans="1:35" x14ac:dyDescent="0.3">
      <c r="A7" s="8" t="s">
        <v>33</v>
      </c>
      <c r="B7" s="8" t="s">
        <v>29</v>
      </c>
      <c r="C7" s="8" t="s">
        <v>30</v>
      </c>
      <c r="D7" s="8">
        <v>5</v>
      </c>
      <c r="E7" s="8">
        <v>10</v>
      </c>
      <c r="F7" s="8"/>
      <c r="G7" s="33">
        <f>IFERROR((inputs!$B$5/100) *'master data '!E6 * inputs!$D$5,0)</f>
        <v>1.5</v>
      </c>
      <c r="H7" s="33">
        <f>IFERROR((inputs!$B$6/100) *'master data '!F6 * inputs!$D$6,0)</f>
        <v>3.4649999999999999</v>
      </c>
      <c r="I7" s="33">
        <f>IFERROR((inputs!$B$7/100) *'master data '!G6 * inputs!$D$7,0)</f>
        <v>4.2000000000000011</v>
      </c>
      <c r="J7" s="33">
        <f>IFERROR((inputs!$G$6/100) *'master data '!H6 * inputs!$I$6,0)</f>
        <v>2.31</v>
      </c>
      <c r="K7" s="33">
        <f>IFERROR((inputs!$G$7/100) *'master data '!I6 * inputs!$I$7,0)</f>
        <v>1.7500000000000002</v>
      </c>
      <c r="L7" s="28">
        <f>IFERROR((inputs!$G$8/100) *'master data '!J6 * inputs!$I$8,0)</f>
        <v>0.35000000000000003</v>
      </c>
      <c r="M7" s="13">
        <f>IFERROR((inputs!$G$10/100) *'master data '!K6 * inputs!$I$10,0)</f>
        <v>6.16</v>
      </c>
      <c r="N7" s="13">
        <f>IFERROR((inputs!$G$11/100) *'master data '!L6 * inputs!$I$11,0)</f>
        <v>8</v>
      </c>
      <c r="O7" s="28">
        <f>IFERROR((inputs!$B$15/100) *'master data '!M6 * inputs!$D$15,0)</f>
        <v>0.375</v>
      </c>
      <c r="P7" s="28">
        <f>IFERROR((inputs!$B$9/100) *'master data '!N6 * inputs!$D$9,0)</f>
        <v>1.25</v>
      </c>
      <c r="Q7" s="28">
        <f>IFERROR((inputs!$G$5/100) *'master data '!O6 * inputs!$I$5,0)</f>
        <v>3.9199999999999995</v>
      </c>
      <c r="R7" s="28">
        <f>IFERROR((inputs!$B$10/100) *'master data '!P6 * inputs!$D$10,0)</f>
        <v>0.55000000000000004</v>
      </c>
      <c r="S7" s="28">
        <f>IFERROR((inputs!$B$11/100) *'master data '!Q6 * inputs!$D$11,0)</f>
        <v>0.65</v>
      </c>
      <c r="T7" s="28">
        <f>IFERROR((inputs!$B$12/100) *'master data '!R6 * inputs!$D$12,0)</f>
        <v>0.6</v>
      </c>
      <c r="U7" s="28">
        <f>IFERROR((inputs!$B$13/100) *'master data '!S6 * inputs!$D$13,0)</f>
        <v>0.55000000000000004</v>
      </c>
      <c r="V7" s="28">
        <f>IFERROR((inputs!$B$14/100) *'master data '!T6 * inputs!$D$14,0)</f>
        <v>0.5</v>
      </c>
      <c r="W7" s="28">
        <f>IFERROR((#REF!/100) *'master data '!U6 *#REF!,0)</f>
        <v>0</v>
      </c>
      <c r="X7" s="28">
        <f>IFERROR((#REF!/100) *'master data '!W6 *#REF!,0)</f>
        <v>0</v>
      </c>
      <c r="Y7" s="28">
        <f>IFERROR((#REF!/100) *'master data '!X6 *#REF!,0)</f>
        <v>0</v>
      </c>
      <c r="Z7" s="28">
        <f>IFERROR((#REF!/100) *'master data '!V6 *#REF!,0)</f>
        <v>0</v>
      </c>
      <c r="AA7" s="28">
        <f>IFERROR((#REF!/100) *'master data '!Y6 *#REF!,0)</f>
        <v>0</v>
      </c>
      <c r="AB7" s="29">
        <f t="shared" si="3"/>
        <v>36.129999999999995</v>
      </c>
      <c r="AC7" s="10">
        <f t="shared" si="4"/>
        <v>5.161428571428571</v>
      </c>
      <c r="AD7" s="10">
        <f t="shared" si="0"/>
        <v>0.16142857142857103</v>
      </c>
      <c r="AE7" s="10" t="s">
        <v>30</v>
      </c>
      <c r="AF7" s="11">
        <f t="shared" si="5"/>
        <v>103.22857142857143</v>
      </c>
      <c r="AG7" s="34">
        <f t="shared" si="1"/>
        <v>-4.838571428571429</v>
      </c>
      <c r="AH7" s="8" t="s">
        <v>30</v>
      </c>
      <c r="AI7" s="11">
        <f t="shared" si="2"/>
        <v>51.614285714285714</v>
      </c>
    </row>
    <row r="8" spans="1:35" x14ac:dyDescent="0.3">
      <c r="A8" s="8" t="s">
        <v>34</v>
      </c>
      <c r="B8" s="8" t="s">
        <v>29</v>
      </c>
      <c r="C8" s="8" t="s">
        <v>30</v>
      </c>
      <c r="D8" s="8">
        <v>1.3</v>
      </c>
      <c r="E8" s="8">
        <v>3</v>
      </c>
      <c r="F8" s="8"/>
      <c r="G8" s="33">
        <f>IFERROR((inputs!$B$5/100) *'master data '!E7 * inputs!$D$5,0)</f>
        <v>0.6</v>
      </c>
      <c r="H8" s="33">
        <f>IFERROR((inputs!$B$6/100) *'master data '!F7 * inputs!$D$6,0)</f>
        <v>0.42</v>
      </c>
      <c r="I8" s="33">
        <f>IFERROR((inputs!$B$7/100) *'master data '!G7 * inputs!$D$7,0)</f>
        <v>0.56000000000000005</v>
      </c>
      <c r="J8" s="33">
        <f>IFERROR((inputs!$G$6/100) *'master data '!H7 * inputs!$I$6,0)</f>
        <v>0.252</v>
      </c>
      <c r="K8" s="33">
        <f>IFERROR((inputs!$G$7/100) *'master data '!I7 * inputs!$I$7,0)</f>
        <v>2.1</v>
      </c>
      <c r="L8" s="28">
        <f>IFERROR((inputs!$G$8/100) *'master data '!J7 * inputs!$I$8,0)</f>
        <v>0.35000000000000003</v>
      </c>
      <c r="M8" s="13">
        <f>IFERROR((inputs!$G$10/100) *'master data '!K7 * inputs!$I$10,0)</f>
        <v>0.44000000000000006</v>
      </c>
      <c r="N8" s="13">
        <f>IFERROR((inputs!$G$11/100) *'master data '!L7 * inputs!$I$11,0)</f>
        <v>4.8</v>
      </c>
      <c r="O8" s="28">
        <f>IFERROR((inputs!$B$15/100) *'master data '!M7 * inputs!$D$15,0)</f>
        <v>0.92500000000000004</v>
      </c>
      <c r="P8" s="28">
        <f>IFERROR((inputs!$B$9/100) *'master data '!N7 * inputs!$D$9,0)</f>
        <v>0.875</v>
      </c>
      <c r="Q8" s="28">
        <f>IFERROR((inputs!$G$5/100) *'master data '!O7 * inputs!$I$5,0)</f>
        <v>0.73499999999999999</v>
      </c>
      <c r="R8" s="28">
        <f>IFERROR((inputs!$B$10/100) *'master data '!P7 * inputs!$D$10,0)</f>
        <v>0.27</v>
      </c>
      <c r="S8" s="28">
        <f>IFERROR((inputs!$B$11/100) *'master data '!Q7 * inputs!$D$11,0)</f>
        <v>0.28999999999999998</v>
      </c>
      <c r="T8" s="28">
        <f>IFERROR((inputs!$B$12/100) *'master data '!R7 * inputs!$D$12,0)</f>
        <v>0.27</v>
      </c>
      <c r="U8" s="28">
        <f>IFERROR((inputs!$B$13/100) *'master data '!S7 * inputs!$D$13,0)</f>
        <v>0.20499999999999999</v>
      </c>
      <c r="V8" s="28">
        <f>IFERROR((inputs!$B$14/100) *'master data '!T7 * inputs!$D$14,0)</f>
        <v>0.26500000000000001</v>
      </c>
      <c r="W8" s="28">
        <f>IFERROR((#REF!/100) *'master data '!U7 *#REF!,0)</f>
        <v>0</v>
      </c>
      <c r="X8" s="28">
        <f>IFERROR((#REF!/100) *'master data '!W7 *#REF!,0)</f>
        <v>0</v>
      </c>
      <c r="Y8" s="28">
        <f>IFERROR((#REF!/100) *'master data '!X7 *#REF!,0)</f>
        <v>0</v>
      </c>
      <c r="Z8" s="28">
        <f>IFERROR((#REF!/100) *'master data '!V7 *#REF!,0)</f>
        <v>0</v>
      </c>
      <c r="AA8" s="28">
        <f>IFERROR((#REF!/100) *'master data '!Y7 *#REF!,0)</f>
        <v>0</v>
      </c>
      <c r="AB8" s="29">
        <f t="shared" si="3"/>
        <v>13.356999999999999</v>
      </c>
      <c r="AC8" s="10">
        <f t="shared" si="4"/>
        <v>1.9081428571428571</v>
      </c>
      <c r="AD8" s="10">
        <f t="shared" si="0"/>
        <v>0.6081428571428571</v>
      </c>
      <c r="AE8" s="10" t="s">
        <v>30</v>
      </c>
      <c r="AF8" s="11">
        <f t="shared" si="5"/>
        <v>146.78021978021977</v>
      </c>
      <c r="AG8" s="34">
        <f t="shared" si="1"/>
        <v>-1.0918571428571429</v>
      </c>
      <c r="AH8" s="8" t="s">
        <v>30</v>
      </c>
      <c r="AI8" s="11">
        <f t="shared" si="2"/>
        <v>63.604761904761908</v>
      </c>
    </row>
    <row r="9" spans="1:35" x14ac:dyDescent="0.3">
      <c r="A9" s="8" t="s">
        <v>35</v>
      </c>
      <c r="B9" s="8" t="s">
        <v>29</v>
      </c>
      <c r="C9" s="8" t="s">
        <v>27</v>
      </c>
      <c r="D9" s="8">
        <v>30</v>
      </c>
      <c r="E9" s="8">
        <v>100</v>
      </c>
      <c r="F9" s="8"/>
      <c r="G9" s="33">
        <f>IFERROR((inputs!$B$5/100) *'master data '!E8 * inputs!$D$5,0)</f>
        <v>9</v>
      </c>
      <c r="H9" s="33">
        <f>IFERROR((inputs!$B$6/100) *'master data '!F8 * inputs!$D$6,0)</f>
        <v>31.5</v>
      </c>
      <c r="I9" s="33">
        <f>IFERROR((inputs!$B$7/100) *'master data '!G8 * inputs!$D$7,0)</f>
        <v>28</v>
      </c>
      <c r="J9" s="33">
        <f>IFERROR((inputs!$G$6/100) *'master data '!H8 * inputs!$I$6,0)</f>
        <v>42</v>
      </c>
      <c r="K9" s="33">
        <f>IFERROR((inputs!$G$7/100) *'master data '!I8 * inputs!$I$7,0)</f>
        <v>0</v>
      </c>
      <c r="L9" s="28">
        <f>IFERROR((inputs!$G$8/100) *'master data '!J8 * inputs!$I$8,0)</f>
        <v>0</v>
      </c>
      <c r="M9" s="13">
        <f>IFERROR((inputs!$G$10/100) *'master data '!K8 * inputs!$I$10,0)</f>
        <v>44</v>
      </c>
      <c r="N9" s="13">
        <f>IFERROR((inputs!$G$11/100) *'master data '!L8 * inputs!$I$11,0)</f>
        <v>40</v>
      </c>
      <c r="O9" s="28">
        <f>IFERROR((inputs!$B$15/100) *'master data '!M8 * inputs!$D$15,0)</f>
        <v>17.5</v>
      </c>
      <c r="P9" s="28">
        <f>IFERROR((inputs!$B$9/100) *'master data '!N8 * inputs!$D$9,0)</f>
        <v>12.5</v>
      </c>
      <c r="Q9" s="28">
        <f>IFERROR((inputs!$G$5/100) *'master data '!O8 * inputs!$I$5,0)</f>
        <v>9.7999999999999989</v>
      </c>
      <c r="R9" s="28">
        <f>IFERROR((inputs!$B$10/100) *'master data '!P8 * inputs!$D$10,0)</f>
        <v>3</v>
      </c>
      <c r="S9" s="28">
        <f>IFERROR((inputs!$B$11/100) *'master data '!Q8 * inputs!$D$11,0)</f>
        <v>3.5</v>
      </c>
      <c r="T9" s="28">
        <f>IFERROR((inputs!$B$12/100) *'master data '!R8 * inputs!$D$12,0)</f>
        <v>3</v>
      </c>
      <c r="U9" s="28">
        <f>IFERROR((inputs!$B$13/100) *'master data '!S8 * inputs!$D$13,0)</f>
        <v>2.5</v>
      </c>
      <c r="V9" s="28">
        <f>IFERROR((inputs!$B$14/100) *'master data '!T8 * inputs!$D$14,0)</f>
        <v>3</v>
      </c>
      <c r="W9" s="28">
        <f>IFERROR((#REF!/100) *'master data '!U8 *#REF!,0)</f>
        <v>0</v>
      </c>
      <c r="X9" s="28">
        <f>IFERROR((#REF!/100) *'master data '!W8 *#REF!,0)</f>
        <v>0</v>
      </c>
      <c r="Y9" s="28">
        <f>IFERROR((#REF!/100) *'master data '!X8 *#REF!,0)</f>
        <v>0</v>
      </c>
      <c r="Z9" s="28">
        <f>IFERROR((#REF!/100) *'master data '!V8 *#REF!,0)</f>
        <v>0</v>
      </c>
      <c r="AA9" s="28">
        <f>IFERROR((#REF!/100) *'master data '!Y8 *#REF!,0)</f>
        <v>0</v>
      </c>
      <c r="AB9" s="29">
        <f t="shared" si="3"/>
        <v>249.3</v>
      </c>
      <c r="AC9" s="10">
        <f t="shared" si="4"/>
        <v>35.614285714285714</v>
      </c>
      <c r="AD9" s="10">
        <f t="shared" si="0"/>
        <v>5.6142857142857139</v>
      </c>
      <c r="AE9" s="10" t="s">
        <v>27</v>
      </c>
      <c r="AF9" s="11">
        <f t="shared" si="5"/>
        <v>118.71428571428571</v>
      </c>
      <c r="AG9" s="34">
        <f t="shared" si="1"/>
        <v>-64.385714285714286</v>
      </c>
      <c r="AH9" s="8" t="s">
        <v>27</v>
      </c>
      <c r="AI9" s="11">
        <f t="shared" si="2"/>
        <v>35.614285714285714</v>
      </c>
    </row>
    <row r="10" spans="1:35" x14ac:dyDescent="0.3">
      <c r="A10" s="8" t="s">
        <v>36</v>
      </c>
      <c r="B10" s="8" t="s">
        <v>29</v>
      </c>
      <c r="C10" s="8" t="s">
        <v>27</v>
      </c>
      <c r="D10" s="8">
        <v>400</v>
      </c>
      <c r="E10" s="8">
        <v>600</v>
      </c>
      <c r="F10" s="8"/>
      <c r="G10" s="33">
        <f>IFERROR((inputs!$B$5/100) *'master data '!E9 * inputs!$D$5,0)</f>
        <v>300</v>
      </c>
      <c r="H10" s="33">
        <f>IFERROR((inputs!$B$6/100) *'master data '!F9 * inputs!$D$6,0)</f>
        <v>52.5</v>
      </c>
      <c r="I10" s="33">
        <f>IFERROR((inputs!$B$7/100) *'master data '!G9 * inputs!$D$7,0)</f>
        <v>63</v>
      </c>
      <c r="J10" s="33">
        <f>IFERROR((inputs!$G$6/100) *'master data '!H9 * inputs!$I$6,0)</f>
        <v>117.60000000000001</v>
      </c>
      <c r="K10" s="33">
        <f>IFERROR((inputs!$G$7/100) *'master data '!I9 * inputs!$I$7,0)</f>
        <v>304.50000000000006</v>
      </c>
      <c r="L10" s="28">
        <f>IFERROR((inputs!$G$8/100) *'master data '!J9 * inputs!$I$8,0)</f>
        <v>60.900000000000006</v>
      </c>
      <c r="M10" s="13">
        <f>IFERROR((inputs!$G$10/100) *'master data '!K9 * inputs!$I$10,0)</f>
        <v>206.8</v>
      </c>
      <c r="N10" s="13">
        <f>IFERROR((inputs!$G$11/100) *'master data '!L9 * inputs!$I$11,0)</f>
        <v>32</v>
      </c>
      <c r="O10" s="28">
        <f>IFERROR((inputs!$B$15/100) *'master data '!M9 * inputs!$D$15,0)</f>
        <v>500</v>
      </c>
      <c r="P10" s="28">
        <f>IFERROR((inputs!$B$9/100) *'master data '!N9 * inputs!$D$9,0)</f>
        <v>450</v>
      </c>
      <c r="Q10" s="28">
        <f>IFERROR((inputs!$G$5/100) *'master data '!O9 * inputs!$I$5,0)</f>
        <v>39.199999999999996</v>
      </c>
      <c r="R10" s="28">
        <f>IFERROR((inputs!$B$10/100) *'master data '!P9 * inputs!$D$10,0)</f>
        <v>312.5</v>
      </c>
      <c r="S10" s="28">
        <f>IFERROR((inputs!$B$11/100) *'master data '!Q9 * inputs!$D$11,0)</f>
        <v>320</v>
      </c>
      <c r="T10" s="28">
        <f>IFERROR((inputs!$B$12/100) *'master data '!R9 * inputs!$D$12,0)</f>
        <v>240</v>
      </c>
      <c r="U10" s="28">
        <f>IFERROR((inputs!$B$13/100) *'master data '!S9 * inputs!$D$13,0)</f>
        <v>197.5</v>
      </c>
      <c r="V10" s="28">
        <f>IFERROR((inputs!$B$14/100) *'master data '!T9 * inputs!$D$14,0)</f>
        <v>275</v>
      </c>
      <c r="W10" s="28">
        <f>IFERROR((#REF!/100) *'master data '!U9 *#REF!,0)</f>
        <v>0</v>
      </c>
      <c r="X10" s="28">
        <f>IFERROR((#REF!/100) *'master data '!W9 *#REF!,0)</f>
        <v>0</v>
      </c>
      <c r="Y10" s="28">
        <f>IFERROR((#REF!/100) *'master data '!X9 *#REF!,0)</f>
        <v>0</v>
      </c>
      <c r="Z10" s="28">
        <f>IFERROR((#REF!/100) *'master data '!V9 *#REF!,0)</f>
        <v>0</v>
      </c>
      <c r="AA10" s="28">
        <f>IFERROR((#REF!/100) *'master data '!Y9 *#REF!,0)</f>
        <v>0</v>
      </c>
      <c r="AB10" s="29">
        <f t="shared" si="3"/>
        <v>3471.5</v>
      </c>
      <c r="AC10" s="10">
        <f t="shared" si="4"/>
        <v>495.92857142857144</v>
      </c>
      <c r="AD10" s="10">
        <f t="shared" si="0"/>
        <v>95.928571428571445</v>
      </c>
      <c r="AE10" s="10" t="s">
        <v>27</v>
      </c>
      <c r="AF10" s="11">
        <f t="shared" si="5"/>
        <v>123.98214285714286</v>
      </c>
      <c r="AG10" s="34">
        <f t="shared" si="1"/>
        <v>-104.07142857142856</v>
      </c>
      <c r="AH10" s="8" t="s">
        <v>27</v>
      </c>
      <c r="AI10" s="11">
        <f t="shared" si="2"/>
        <v>82.654761904761912</v>
      </c>
    </row>
    <row r="11" spans="1:35" x14ac:dyDescent="0.3">
      <c r="A11" s="8" t="s">
        <v>37</v>
      </c>
      <c r="B11" s="8" t="s">
        <v>29</v>
      </c>
      <c r="C11" s="8" t="s">
        <v>27</v>
      </c>
      <c r="D11" s="8">
        <v>2.4</v>
      </c>
      <c r="E11" s="8">
        <v>10</v>
      </c>
      <c r="F11" s="8"/>
      <c r="G11" s="33">
        <f>IFERROR((inputs!$B$5/100) *'master data '!E10 * inputs!$D$5,0)</f>
        <v>0</v>
      </c>
      <c r="H11" s="33">
        <f>IFERROR((inputs!$B$6/100) *'master data '!F10 * inputs!$D$6,0)</f>
        <v>3.7800000000000002</v>
      </c>
      <c r="I11" s="33">
        <f>IFERROR((inputs!$B$7/100) *'master data '!G10 * inputs!$D$7,0)</f>
        <v>5.6000000000000005</v>
      </c>
      <c r="J11" s="33">
        <f>IFERROR((inputs!$G$6/100) *'master data '!H10 * inputs!$I$6,0)</f>
        <v>0</v>
      </c>
      <c r="K11" s="33">
        <f>IFERROR((inputs!$G$7/100) *'master data '!I10 * inputs!$I$7,0)</f>
        <v>0</v>
      </c>
      <c r="L11" s="28">
        <f>IFERROR((inputs!$G$8/100) *'master data '!J10 * inputs!$I$8,0)</f>
        <v>0</v>
      </c>
      <c r="M11" s="13">
        <f>IFERROR((inputs!$G$10/100) *'master data '!K10 * inputs!$I$10,0)</f>
        <v>4.8400000000000007</v>
      </c>
      <c r="N11" s="13">
        <f>IFERROR((inputs!$G$11/100) *'master data '!L10 * inputs!$I$11,0)</f>
        <v>2.4</v>
      </c>
      <c r="O11" s="28">
        <f>IFERROR((inputs!$B$15/100) *'master data '!M10 * inputs!$D$15,0)</f>
        <v>0</v>
      </c>
      <c r="P11" s="28">
        <f>IFERROR((inputs!$B$9/100) *'master data '!N10 * inputs!$D$9,0)</f>
        <v>0</v>
      </c>
      <c r="Q11" s="28">
        <f>IFERROR((inputs!$G$5/100) *'master data '!O10 * inputs!$I$5,0)</f>
        <v>0</v>
      </c>
      <c r="R11" s="28">
        <f>IFERROR((inputs!$B$10/100) *'master data '!P10 * inputs!$D$10,0)</f>
        <v>0</v>
      </c>
      <c r="S11" s="28">
        <f>IFERROR((inputs!$B$11/100) *'master data '!Q10 * inputs!$D$11,0)</f>
        <v>0</v>
      </c>
      <c r="T11" s="28">
        <f>IFERROR((inputs!$B$12/100) *'master data '!R10 * inputs!$D$12,0)</f>
        <v>0</v>
      </c>
      <c r="U11" s="28">
        <f>IFERROR((inputs!$B$13/100) *'master data '!S10 * inputs!$D$13,0)</f>
        <v>0</v>
      </c>
      <c r="V11" s="28">
        <f>IFERROR((inputs!$B$14/100) *'master data '!T10 * inputs!$D$14,0)</f>
        <v>0</v>
      </c>
      <c r="W11" s="28">
        <f>IFERROR((#REF!/100) *'master data '!U10 *#REF!,0)</f>
        <v>0</v>
      </c>
      <c r="X11" s="28">
        <f>IFERROR((#REF!/100) *'master data '!W10 *#REF!,0)</f>
        <v>0</v>
      </c>
      <c r="Y11" s="28">
        <f>IFERROR((#REF!/100) *'master data '!X10 *#REF!,0)</f>
        <v>0</v>
      </c>
      <c r="Z11" s="28">
        <f>IFERROR((#REF!/100) *'master data '!V10 *#REF!,0)</f>
        <v>0</v>
      </c>
      <c r="AA11" s="28">
        <f>IFERROR((#REF!/100) *'master data '!Y10 *#REF!,0)</f>
        <v>0</v>
      </c>
      <c r="AB11" s="29">
        <f t="shared" si="3"/>
        <v>16.62</v>
      </c>
      <c r="AC11" s="10">
        <f t="shared" si="4"/>
        <v>2.3742857142857146</v>
      </c>
      <c r="AD11" s="10">
        <f t="shared" si="0"/>
        <v>-2.5714285714285356E-2</v>
      </c>
      <c r="AE11" s="10" t="s">
        <v>27</v>
      </c>
      <c r="AF11" s="11">
        <f t="shared" si="5"/>
        <v>98.928571428571445</v>
      </c>
      <c r="AG11" s="34">
        <f t="shared" si="1"/>
        <v>-7.6257142857142854</v>
      </c>
      <c r="AH11" s="8" t="s">
        <v>27</v>
      </c>
      <c r="AI11" s="11">
        <f t="shared" si="2"/>
        <v>23.742857142857147</v>
      </c>
    </row>
    <row r="12" spans="1:35" x14ac:dyDescent="0.3">
      <c r="A12" s="8" t="s">
        <v>38</v>
      </c>
      <c r="B12" s="8" t="s">
        <v>29</v>
      </c>
      <c r="C12" s="8" t="s">
        <v>30</v>
      </c>
      <c r="D12" s="8">
        <v>90</v>
      </c>
      <c r="E12" s="8">
        <v>500</v>
      </c>
      <c r="F12" s="8"/>
      <c r="G12" s="33">
        <f>IFERROR((inputs!$B$5/100) *'master data '!E11 * inputs!$D$5,0)</f>
        <v>12</v>
      </c>
      <c r="H12" s="33">
        <f>IFERROR((inputs!$B$6/100) *'master data '!F11 * inputs!$D$6,0)</f>
        <v>10.5</v>
      </c>
      <c r="I12" s="33">
        <f>IFERROR((inputs!$B$7/100) *'master data '!G11 * inputs!$D$7,0)</f>
        <v>7</v>
      </c>
      <c r="J12" s="33">
        <f>IFERROR((inputs!$G$6/100) *'master data '!H11 * inputs!$I$6,0)</f>
        <v>0</v>
      </c>
      <c r="K12" s="33">
        <f>IFERROR((inputs!$G$7/100) *'master data '!I11 * inputs!$I$7,0)</f>
        <v>5.6000000000000005</v>
      </c>
      <c r="L12" s="28">
        <f>IFERROR((inputs!$G$8/100) *'master data '!J11 * inputs!$I$8,0)</f>
        <v>1.1200000000000001</v>
      </c>
      <c r="M12" s="13">
        <f>IFERROR((inputs!$G$10/100) *'master data '!K11 * inputs!$I$10,0)</f>
        <v>0</v>
      </c>
      <c r="N12" s="13">
        <f>IFERROR((inputs!$G$11/100) *'master data '!L11 * inputs!$I$11,0)</f>
        <v>0</v>
      </c>
      <c r="O12" s="28">
        <f>IFERROR((inputs!$B$15/100) *'master data '!M11 * inputs!$D$15,0)</f>
        <v>0</v>
      </c>
      <c r="P12" s="28">
        <f>IFERROR((inputs!$B$9/100) *'master data '!N11 * inputs!$D$9,0)</f>
        <v>7.5</v>
      </c>
      <c r="Q12" s="28">
        <f>IFERROR((inputs!$G$5/100) *'master data '!O11 * inputs!$I$5,0)</f>
        <v>0</v>
      </c>
      <c r="R12" s="28">
        <f>IFERROR((inputs!$B$10/100) *'master data '!P11 * inputs!$D$10,0)</f>
        <v>2</v>
      </c>
      <c r="S12" s="28">
        <f>IFERROR((inputs!$B$11/100) *'master data '!Q11 * inputs!$D$11,0)</f>
        <v>2</v>
      </c>
      <c r="T12" s="28">
        <f>IFERROR((inputs!$B$12/100) *'master data '!R11 * inputs!$D$12,0)</f>
        <v>2</v>
      </c>
      <c r="U12" s="28">
        <f>IFERROR((inputs!$B$13/100) *'master data '!S11 * inputs!$D$13,0)</f>
        <v>1.5</v>
      </c>
      <c r="V12" s="28">
        <f>IFERROR((inputs!$B$14/100) *'master data '!T11 * inputs!$D$14,0)</f>
        <v>2</v>
      </c>
      <c r="W12" s="28">
        <f>IFERROR((#REF!/100) *'master data '!U11 *#REF!,0)</f>
        <v>0</v>
      </c>
      <c r="X12" s="28">
        <f>IFERROR((#REF!/100) *'master data '!W11 *#REF!,0)</f>
        <v>0</v>
      </c>
      <c r="Y12" s="28">
        <f>IFERROR((#REF!/100) *'master data '!X11 *#REF!,0)</f>
        <v>0</v>
      </c>
      <c r="Z12" s="28">
        <f>IFERROR((#REF!/100) *'master data '!V11 *#REF!,0)</f>
        <v>0</v>
      </c>
      <c r="AA12" s="28">
        <f>IFERROR((#REF!/100) *'master data '!Y11 *#REF!,0)</f>
        <v>0</v>
      </c>
      <c r="AB12" s="29">
        <f t="shared" si="3"/>
        <v>53.22</v>
      </c>
      <c r="AC12" s="10">
        <f t="shared" si="4"/>
        <v>7.6028571428571423</v>
      </c>
      <c r="AD12" s="10">
        <f t="shared" si="0"/>
        <v>-82.397142857142853</v>
      </c>
      <c r="AE12" s="10" t="s">
        <v>30</v>
      </c>
      <c r="AF12" s="11">
        <f t="shared" si="5"/>
        <v>8.447619047619046</v>
      </c>
      <c r="AG12" s="34">
        <f t="shared" si="1"/>
        <v>-492.39714285714285</v>
      </c>
      <c r="AH12" s="8" t="s">
        <v>30</v>
      </c>
      <c r="AI12" s="11">
        <f t="shared" si="2"/>
        <v>1.5205714285714285</v>
      </c>
    </row>
    <row r="13" spans="1:35" x14ac:dyDescent="0.3">
      <c r="A13" s="8" t="s">
        <v>39</v>
      </c>
      <c r="B13" s="8" t="s">
        <v>26</v>
      </c>
      <c r="C13" s="8" t="s">
        <v>40</v>
      </c>
      <c r="D13" s="8">
        <v>600</v>
      </c>
      <c r="E13" s="8">
        <v>2000</v>
      </c>
      <c r="F13" s="8"/>
      <c r="G13" s="33">
        <f>IFERROR((inputs!$B$5/100) *'master data '!E12 * inputs!$D$5,0)</f>
        <v>0</v>
      </c>
      <c r="H13" s="33">
        <f>IFERROR((inputs!$B$6/100) *'master data '!F12 * inputs!$D$6,0)</f>
        <v>126</v>
      </c>
      <c r="I13" s="33">
        <f>IFERROR((inputs!$B$7/100) *'master data '!G12 * inputs!$D$7,0)</f>
        <v>0</v>
      </c>
      <c r="J13" s="33">
        <f>IFERROR((inputs!$G$6/100) *'master data '!H12 * inputs!$I$6,0)</f>
        <v>0</v>
      </c>
      <c r="K13" s="33">
        <f>IFERROR((inputs!$G$7/100) *'master data '!I12 * inputs!$I$7,0)</f>
        <v>0</v>
      </c>
      <c r="L13" s="28">
        <f>IFERROR((inputs!$G$8/100) *'master data '!J12 * inputs!$I$8,0)</f>
        <v>0</v>
      </c>
      <c r="M13" s="13">
        <f>IFERROR((inputs!$G$10/100) *'master data '!K12 * inputs!$I$10,0)</f>
        <v>360.8</v>
      </c>
      <c r="N13" s="13">
        <f>IFERROR((inputs!$G$11/100) *'master data '!L12 * inputs!$I$11,0)</f>
        <v>0.8</v>
      </c>
      <c r="O13" s="28">
        <f>IFERROR((inputs!$B$15/100) *'master data '!M12 * inputs!$D$15,0)</f>
        <v>0</v>
      </c>
      <c r="P13" s="28">
        <f>IFERROR((inputs!$B$9/100) *'master data '!N12 * inputs!$D$9,0)</f>
        <v>0</v>
      </c>
      <c r="Q13" s="28">
        <f>IFERROR((inputs!$G$5/100) *'master data '!O12 * inputs!$I$5,0)</f>
        <v>0</v>
      </c>
      <c r="R13" s="28">
        <f>IFERROR((inputs!$B$10/100) *'master data '!P12 * inputs!$D$10,0)</f>
        <v>0</v>
      </c>
      <c r="S13" s="28">
        <f>IFERROR((inputs!$B$11/100) *'master data '!Q12 * inputs!$D$11,0)</f>
        <v>0</v>
      </c>
      <c r="T13" s="28">
        <f>IFERROR((inputs!$B$12/100) *'master data '!R12 * inputs!$D$12,0)</f>
        <v>0</v>
      </c>
      <c r="U13" s="28">
        <f>IFERROR((inputs!$B$13/100) *'master data '!S12 * inputs!$D$13,0)</f>
        <v>0</v>
      </c>
      <c r="V13" s="28">
        <f>IFERROR((inputs!$B$14/100) *'master data '!T12 * inputs!$D$14,0)</f>
        <v>0</v>
      </c>
      <c r="W13" s="28">
        <f>IFERROR((#REF!/100) *'master data '!U12 *#REF!,0)</f>
        <v>0</v>
      </c>
      <c r="X13" s="28">
        <f>IFERROR((#REF!/100) *'master data '!W12 *#REF!,0)</f>
        <v>0</v>
      </c>
      <c r="Y13" s="28">
        <f>IFERROR((#REF!/100) *'master data '!X12 *#REF!,0)</f>
        <v>0</v>
      </c>
      <c r="Z13" s="28">
        <f>IFERROR((#REF!/100) *'master data '!V12 *#REF!,0)</f>
        <v>0</v>
      </c>
      <c r="AA13" s="28">
        <f>IFERROR((#REF!/100) *'master data '!Y12 *#REF!,0)</f>
        <v>0</v>
      </c>
      <c r="AB13" s="29">
        <f t="shared" si="3"/>
        <v>487.6</v>
      </c>
      <c r="AC13" s="10">
        <f t="shared" si="4"/>
        <v>69.657142857142858</v>
      </c>
      <c r="AD13" s="10">
        <f t="shared" si="0"/>
        <v>-530.34285714285716</v>
      </c>
      <c r="AE13" s="10" t="s">
        <v>40</v>
      </c>
      <c r="AF13" s="11">
        <f t="shared" si="5"/>
        <v>11.609523809523809</v>
      </c>
      <c r="AG13" s="34">
        <f t="shared" si="1"/>
        <v>-1930.3428571428572</v>
      </c>
      <c r="AH13" s="8" t="s">
        <v>40</v>
      </c>
      <c r="AI13" s="11">
        <f t="shared" si="2"/>
        <v>3.4828571428571431</v>
      </c>
    </row>
    <row r="14" spans="1:35" x14ac:dyDescent="0.3">
      <c r="A14" s="8" t="s">
        <v>41</v>
      </c>
      <c r="B14" s="8" t="s">
        <v>26</v>
      </c>
      <c r="C14" s="8" t="s">
        <v>30</v>
      </c>
      <c r="D14" s="8">
        <v>15</v>
      </c>
      <c r="E14" s="8">
        <v>100</v>
      </c>
      <c r="F14" s="8"/>
      <c r="G14" s="33">
        <f>IFERROR((inputs!$B$5/100) *'master data '!E13 * inputs!$D$5,0)</f>
        <v>0</v>
      </c>
      <c r="H14" s="33">
        <f>IFERROR((inputs!$B$6/100) *'master data '!F13 * inputs!$D$6,0)</f>
        <v>0.7350000000000001</v>
      </c>
      <c r="I14" s="33">
        <f>IFERROR((inputs!$B$7/100) *'master data '!G13 * inputs!$D$7,0)</f>
        <v>0.14000000000000001</v>
      </c>
      <c r="J14" s="33">
        <f>IFERROR((inputs!$G$6/100) *'master data '!H13 * inputs!$I$6,0)</f>
        <v>0.84</v>
      </c>
      <c r="K14" s="33">
        <f>IFERROR((inputs!$G$7/100) *'master data '!I13 * inputs!$I$7,0)</f>
        <v>1.7500000000000002</v>
      </c>
      <c r="L14" s="28">
        <f>IFERROR((inputs!$G$8/100) *'master data '!J13 * inputs!$I$8,0)</f>
        <v>0.21</v>
      </c>
      <c r="M14" s="13">
        <f>IFERROR((inputs!$G$10/100) *'master data '!K13 * inputs!$I$10,0)</f>
        <v>8.8000000000000007</v>
      </c>
      <c r="N14" s="13">
        <f>IFERROR((inputs!$G$11/100) *'master data '!L13 * inputs!$I$11,0)</f>
        <v>2.4</v>
      </c>
      <c r="O14" s="28">
        <f>IFERROR((inputs!$B$15/100) *'master data '!M13 * inputs!$D$15,0)</f>
        <v>2.25</v>
      </c>
      <c r="P14" s="28">
        <f>IFERROR((inputs!$B$9/100) *'master data '!N13 * inputs!$D$9,0)</f>
        <v>1.5</v>
      </c>
      <c r="Q14" s="28">
        <f>IFERROR((inputs!$G$5/100) *'master data '!O13 * inputs!$I$5,0)</f>
        <v>0</v>
      </c>
      <c r="R14" s="28">
        <f>IFERROR((inputs!$B$10/100) *'master data '!P13 * inputs!$D$10,0)</f>
        <v>0.3</v>
      </c>
      <c r="S14" s="28">
        <f>IFERROR((inputs!$B$11/100) *'master data '!Q13 * inputs!$D$11,0)</f>
        <v>0.35</v>
      </c>
      <c r="T14" s="28">
        <f>IFERROR((inputs!$B$12/100) *'master data '!R13 * inputs!$D$12,0)</f>
        <v>0.25</v>
      </c>
      <c r="U14" s="28">
        <f>IFERROR((inputs!$B$13/100) *'master data '!S13 * inputs!$D$13,0)</f>
        <v>0.3</v>
      </c>
      <c r="V14" s="28">
        <f>IFERROR((inputs!$B$14/100) *'master data '!T13 * inputs!$D$14,0)</f>
        <v>0.25</v>
      </c>
      <c r="W14" s="28">
        <f>IFERROR((#REF!/100) *'master data '!U13 *#REF!,0)</f>
        <v>0</v>
      </c>
      <c r="X14" s="28">
        <f>IFERROR((#REF!/100) *'master data '!W13 *#REF!,0)</f>
        <v>0</v>
      </c>
      <c r="Y14" s="28">
        <f>IFERROR((#REF!/100) *'master data '!X13 *#REF!,0)</f>
        <v>0</v>
      </c>
      <c r="Z14" s="28">
        <f>IFERROR((#REF!/100) *'master data '!V13 *#REF!,0)</f>
        <v>0</v>
      </c>
      <c r="AA14" s="28">
        <f>IFERROR((#REF!/100) *'master data '!Y13 *#REF!,0)</f>
        <v>0</v>
      </c>
      <c r="AB14" s="29">
        <f t="shared" si="3"/>
        <v>20.075000000000003</v>
      </c>
      <c r="AC14" s="10">
        <f t="shared" si="4"/>
        <v>2.8678571428571433</v>
      </c>
      <c r="AD14" s="10">
        <f t="shared" si="0"/>
        <v>-12.132142857142856</v>
      </c>
      <c r="AE14" s="10" t="s">
        <v>30</v>
      </c>
      <c r="AF14" s="11">
        <f t="shared" si="5"/>
        <v>19.11904761904762</v>
      </c>
      <c r="AG14" s="34">
        <f t="shared" si="1"/>
        <v>-97.132142857142853</v>
      </c>
      <c r="AH14" s="8" t="s">
        <v>30</v>
      </c>
      <c r="AI14" s="11">
        <f t="shared" si="2"/>
        <v>2.8678571428571433</v>
      </c>
    </row>
    <row r="15" spans="1:35" x14ac:dyDescent="0.3">
      <c r="A15" s="8" t="s">
        <v>42</v>
      </c>
      <c r="B15" s="8" t="s">
        <v>26</v>
      </c>
      <c r="C15" s="8" t="s">
        <v>27</v>
      </c>
      <c r="D15" s="8">
        <v>120</v>
      </c>
      <c r="E15" s="8">
        <v>200</v>
      </c>
      <c r="F15" s="8"/>
      <c r="G15" s="33">
        <f>IFERROR((inputs!$B$5/100) *'master data '!E14 * inputs!$D$5,0)</f>
        <v>0</v>
      </c>
      <c r="H15" s="33">
        <f>IFERROR((inputs!$B$6/100) *'master data '!F14 * inputs!$D$6,0)</f>
        <v>2.1000000000000005</v>
      </c>
      <c r="I15" s="33">
        <f>IFERROR((inputs!$B$7/100) *'master data '!G14 * inputs!$D$7,0)</f>
        <v>7</v>
      </c>
      <c r="J15" s="33">
        <f>IFERROR((inputs!$G$6/100) *'master data '!H14 * inputs!$I$6,0)</f>
        <v>4.2</v>
      </c>
      <c r="K15" s="33">
        <f>IFERROR((inputs!$G$7/100) *'master data '!I14 * inputs!$I$7,0)</f>
        <v>0</v>
      </c>
      <c r="L15" s="28">
        <f>IFERROR((inputs!$G$8/100) *'master data '!J14 * inputs!$I$8,0)</f>
        <v>0</v>
      </c>
      <c r="M15" s="13">
        <f>IFERROR((inputs!$G$10/100) *'master data '!K14 * inputs!$I$10,0)</f>
        <v>1.32</v>
      </c>
      <c r="N15" s="13">
        <f>IFERROR((inputs!$G$11/100) *'master data '!L14 * inputs!$I$11,0)</f>
        <v>16</v>
      </c>
      <c r="O15" s="28">
        <f>IFERROR((inputs!$B$15/100) *'master data '!M14 * inputs!$D$15,0)</f>
        <v>50</v>
      </c>
      <c r="P15" s="28">
        <f>IFERROR((inputs!$B$9/100) *'master data '!N14 * inputs!$D$9,0)</f>
        <v>17.5</v>
      </c>
      <c r="Q15" s="28">
        <f>IFERROR((inputs!$G$5/100) *'master data '!O14 * inputs!$I$5,0)</f>
        <v>0</v>
      </c>
      <c r="R15" s="28">
        <f>IFERROR((inputs!$B$10/100) *'master data '!P14 * inputs!$D$10,0)</f>
        <v>4.5</v>
      </c>
      <c r="S15" s="28">
        <f>IFERROR((inputs!$B$11/100) *'master data '!Q14 * inputs!$D$11,0)</f>
        <v>5</v>
      </c>
      <c r="T15" s="28">
        <f>IFERROR((inputs!$B$12/100) *'master data '!R14 * inputs!$D$12,0)</f>
        <v>3.5</v>
      </c>
      <c r="U15" s="28">
        <f>IFERROR((inputs!$B$13/100) *'master data '!S14 * inputs!$D$13,0)</f>
        <v>3</v>
      </c>
      <c r="V15" s="28">
        <f>IFERROR((inputs!$B$14/100) *'master data '!T14 * inputs!$D$14,0)</f>
        <v>4</v>
      </c>
      <c r="W15" s="28">
        <f>IFERROR((#REF!/100) *'master data '!U14 *#REF!,0)</f>
        <v>0</v>
      </c>
      <c r="X15" s="28">
        <f>IFERROR((#REF!/100) *'master data '!W14 *#REF!,0)</f>
        <v>0</v>
      </c>
      <c r="Y15" s="28">
        <f>IFERROR((#REF!/100) *'master data '!X14 *#REF!,0)</f>
        <v>0</v>
      </c>
      <c r="Z15" s="28">
        <f>IFERROR((#REF!/100) *'master data '!V14 *#REF!,0)</f>
        <v>0</v>
      </c>
      <c r="AA15" s="28">
        <f>IFERROR((#REF!/100) *'master data '!Y14 *#REF!,0)</f>
        <v>0</v>
      </c>
      <c r="AB15" s="29">
        <f t="shared" si="3"/>
        <v>118.12</v>
      </c>
      <c r="AC15" s="10">
        <f t="shared" si="4"/>
        <v>16.874285714285715</v>
      </c>
      <c r="AD15" s="10">
        <f t="shared" si="0"/>
        <v>-103.12571428571428</v>
      </c>
      <c r="AE15" s="10" t="s">
        <v>27</v>
      </c>
      <c r="AF15" s="11">
        <f t="shared" si="5"/>
        <v>14.061904761904762</v>
      </c>
      <c r="AG15" s="34">
        <f t="shared" si="1"/>
        <v>-183.12571428571428</v>
      </c>
      <c r="AH15" s="8" t="s">
        <v>27</v>
      </c>
      <c r="AI15" s="11">
        <f t="shared" si="2"/>
        <v>8.4371428571428577</v>
      </c>
    </row>
    <row r="16" spans="1:35" x14ac:dyDescent="0.3">
      <c r="A16" s="8" t="s">
        <v>43</v>
      </c>
      <c r="B16" s="8" t="s">
        <v>26</v>
      </c>
      <c r="C16" s="8" t="s">
        <v>27</v>
      </c>
      <c r="D16" s="8">
        <v>90</v>
      </c>
      <c r="E16" s="8">
        <v>150</v>
      </c>
      <c r="F16" s="8"/>
      <c r="G16" s="33">
        <f>IFERROR((inputs!$B$5/100) *'master data '!E15 * inputs!$D$5,0)</f>
        <v>0</v>
      </c>
      <c r="H16" s="33">
        <f>IFERROR((inputs!$B$6/100) *'master data '!F15 * inputs!$D$6,0)</f>
        <v>10.5</v>
      </c>
      <c r="I16" s="33">
        <f>IFERROR((inputs!$B$7/100) *'master data '!G15 * inputs!$D$7,0)</f>
        <v>0</v>
      </c>
      <c r="J16" s="33">
        <f>IFERROR((inputs!$G$6/100) *'master data '!H15 * inputs!$I$6,0)</f>
        <v>0</v>
      </c>
      <c r="K16" s="33">
        <f>IFERROR((inputs!$G$7/100) *'master data '!I15 * inputs!$I$7,0)</f>
        <v>0</v>
      </c>
      <c r="L16" s="28">
        <f>IFERROR((inputs!$G$8/100) *'master data '!J15 * inputs!$I$8,0)</f>
        <v>0</v>
      </c>
      <c r="M16" s="13">
        <f>IFERROR((inputs!$G$10/100) *'master data '!K15 * inputs!$I$10,0)</f>
        <v>1.32</v>
      </c>
      <c r="N16" s="13">
        <f>IFERROR((inputs!$G$11/100) *'master data '!L15 * inputs!$I$11,0)</f>
        <v>0</v>
      </c>
      <c r="O16" s="28">
        <f>IFERROR((inputs!$B$15/100) *'master data '!M15 * inputs!$D$15,0)</f>
        <v>0</v>
      </c>
      <c r="P16" s="28">
        <f>IFERROR((inputs!$B$9/100) *'master data '!N15 * inputs!$D$9,0)</f>
        <v>0</v>
      </c>
      <c r="Q16" s="28">
        <f>IFERROR((inputs!$G$5/100) *'master data '!O15 * inputs!$I$5,0)</f>
        <v>0</v>
      </c>
      <c r="R16" s="28">
        <f>IFERROR((inputs!$B$10/100) *'master data '!P15 * inputs!$D$10,0)</f>
        <v>0</v>
      </c>
      <c r="S16" s="28">
        <f>IFERROR((inputs!$B$11/100) *'master data '!Q15 * inputs!$D$11,0)</f>
        <v>0</v>
      </c>
      <c r="T16" s="28">
        <f>IFERROR((inputs!$B$12/100) *'master data '!R15 * inputs!$D$12,0)</f>
        <v>0</v>
      </c>
      <c r="U16" s="28">
        <f>IFERROR((inputs!$B$13/100) *'master data '!S15 * inputs!$D$13,0)</f>
        <v>0</v>
      </c>
      <c r="V16" s="28">
        <f>IFERROR((inputs!$B$14/100) *'master data '!T15 * inputs!$D$14,0)</f>
        <v>0</v>
      </c>
      <c r="W16" s="28">
        <f>IFERROR((#REF!/100) *'master data '!U15 *#REF!,0)</f>
        <v>0</v>
      </c>
      <c r="X16" s="28">
        <f>IFERROR((#REF!/100) *'master data '!W15 *#REF!,0)</f>
        <v>0</v>
      </c>
      <c r="Y16" s="28">
        <f>IFERROR((#REF!/100) *'master data '!X15 *#REF!,0)</f>
        <v>0</v>
      </c>
      <c r="Z16" s="28">
        <f>IFERROR((#REF!/100) *'master data '!V15 *#REF!,0)</f>
        <v>0</v>
      </c>
      <c r="AA16" s="28">
        <f>IFERROR((#REF!/100) *'master data '!Y15 *#REF!,0)</f>
        <v>0</v>
      </c>
      <c r="AB16" s="29">
        <f t="shared" si="3"/>
        <v>11.82</v>
      </c>
      <c r="AC16" s="10">
        <f t="shared" si="4"/>
        <v>1.6885714285714286</v>
      </c>
      <c r="AD16" s="10">
        <f t="shared" si="0"/>
        <v>-88.311428571428564</v>
      </c>
      <c r="AE16" s="10" t="s">
        <v>27</v>
      </c>
      <c r="AF16" s="11">
        <f t="shared" si="5"/>
        <v>1.8761904761904762</v>
      </c>
      <c r="AG16" s="34">
        <f t="shared" si="1"/>
        <v>-148.31142857142856</v>
      </c>
      <c r="AH16" s="8" t="s">
        <v>27</v>
      </c>
      <c r="AI16" s="11">
        <f t="shared" si="2"/>
        <v>1.1257142857142859</v>
      </c>
    </row>
    <row r="17" spans="1:35" s="17" customFormat="1" x14ac:dyDescent="0.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</row>
    <row r="18" spans="1:35" x14ac:dyDescent="0.3">
      <c r="A18" s="14" t="s">
        <v>45</v>
      </c>
      <c r="B18" s="14" t="s">
        <v>26</v>
      </c>
      <c r="C18" s="14" t="s">
        <v>30</v>
      </c>
      <c r="D18" s="14">
        <v>1000</v>
      </c>
      <c r="E18" s="8">
        <v>1200</v>
      </c>
      <c r="F18" s="8"/>
      <c r="G18" s="33">
        <f>IFERROR((inputs!$B$5/100) *'master data '!E17 * inputs!$D$5,0)</f>
        <v>380</v>
      </c>
      <c r="H18" s="33">
        <f>IFERROR((inputs!$B$6/100) *'master data '!F17 * inputs!$D$6,0)</f>
        <v>1260</v>
      </c>
      <c r="I18" s="33">
        <f>IFERROR((inputs!$B$7/100) *'master data '!G17 * inputs!$D$7,0)</f>
        <v>1680</v>
      </c>
      <c r="J18" s="33">
        <f>IFERROR((inputs!$G$6/100) *'master data '!H17 * inputs!$I$6,0)</f>
        <v>113.39999999999999</v>
      </c>
      <c r="K18" s="33">
        <f>IFERROR((inputs!$G$7/100) *'master data '!I17 * inputs!$I$7,0)</f>
        <v>2208.5</v>
      </c>
      <c r="L18" s="28">
        <f>IFERROR((inputs!$G$8/100) *'master data '!J17 * inputs!$I$8,0)</f>
        <v>178.5</v>
      </c>
      <c r="M18" s="14">
        <f>IFERROR((inputs!$G$10/100) *'master data '!K17 * inputs!$I$10,0)</f>
        <v>246.40000000000003</v>
      </c>
      <c r="N18" s="14">
        <f>IFERROR((inputs!$G$11/100) *'master data '!L17 * inputs!$I$11,0)</f>
        <v>88</v>
      </c>
      <c r="O18" s="28">
        <f>IFERROR((inputs!$B$15/100) *'master data '!M17 * inputs!$D$15,0)</f>
        <v>875</v>
      </c>
      <c r="P18" s="28">
        <f>IFERROR((inputs!$B$9/100) *'master data '!N17 * inputs!$D$9,0)</f>
        <v>475</v>
      </c>
      <c r="Q18" s="28">
        <f>IFERROR((inputs!$G$5/100) *'master data '!O17 * inputs!$I$5,0)</f>
        <v>49</v>
      </c>
      <c r="R18" s="28">
        <f>IFERROR((inputs!$B$10/100) *'master data '!P17 * inputs!$D$10,0)</f>
        <v>37.5</v>
      </c>
      <c r="S18" s="28">
        <f>IFERROR((inputs!$B$11/100) *'master data '!Q17 * inputs!$D$11,0)</f>
        <v>62</v>
      </c>
      <c r="T18" s="28">
        <f>IFERROR((inputs!$B$12/100) *'master data '!R17 * inputs!$D$12,0)</f>
        <v>34</v>
      </c>
      <c r="U18" s="28">
        <f>IFERROR((inputs!$B$13/100) *'master data '!S17 * inputs!$D$13,0)</f>
        <v>41.5</v>
      </c>
      <c r="V18" s="28">
        <f>IFERROR((inputs!$B$14/100) *'master data '!T17 * inputs!$D$14,0)</f>
        <v>28</v>
      </c>
      <c r="W18" s="28">
        <f>IFERROR((#REF!/100) *'master data '!U17 *#REF!,0)</f>
        <v>0</v>
      </c>
      <c r="X18" s="28">
        <f>IFERROR((#REF!/100) *'master data '!W17 *#REF!,0)</f>
        <v>0</v>
      </c>
      <c r="Y18" s="28">
        <f>IFERROR((#REF!/100) *'master data '!X17 *#REF!,0)</f>
        <v>0</v>
      </c>
      <c r="Z18" s="28">
        <f>IFERROR((#REF!/100) *'master data '!V17 *#REF!,0)</f>
        <v>0</v>
      </c>
      <c r="AA18" s="28">
        <f>IFERROR((#REF!/100) *'master data '!Y17 *#REF!,0)</f>
        <v>0</v>
      </c>
      <c r="AB18" s="29">
        <f t="shared" si="3"/>
        <v>7756.7999999999993</v>
      </c>
      <c r="AC18" s="10">
        <f>AB18 / 7</f>
        <v>1108.1142857142856</v>
      </c>
      <c r="AD18" s="10">
        <f>AC18 -D18</f>
        <v>108.11428571428564</v>
      </c>
      <c r="AE18" s="10" t="s">
        <v>30</v>
      </c>
      <c r="AF18" s="11">
        <f t="shared" si="5"/>
        <v>110.81142857142856</v>
      </c>
      <c r="AG18" s="34">
        <f>AC18 -E18</f>
        <v>-91.885714285714357</v>
      </c>
      <c r="AH18" s="14" t="s">
        <v>30</v>
      </c>
      <c r="AI18" s="11">
        <f>AC18 /E18*100</f>
        <v>92.342857142857142</v>
      </c>
    </row>
    <row r="19" spans="1:35" x14ac:dyDescent="0.3">
      <c r="A19" s="14" t="s">
        <v>46</v>
      </c>
      <c r="B19" s="14" t="s">
        <v>26</v>
      </c>
      <c r="C19" s="14" t="s">
        <v>30</v>
      </c>
      <c r="D19" s="14">
        <v>400</v>
      </c>
      <c r="E19" s="8">
        <v>500</v>
      </c>
      <c r="F19" s="8"/>
      <c r="G19" s="33">
        <f>IFERROR((inputs!$B$5/100) *'master data '!E18 * inputs!$D$5,0)</f>
        <v>102</v>
      </c>
      <c r="H19" s="33">
        <f>IFERROR((inputs!$B$6/100) *'master data '!F18 * inputs!$D$6,0)</f>
        <v>105</v>
      </c>
      <c r="I19" s="33">
        <f>IFERROR((inputs!$B$7/100) *'master data '!G18 * inputs!$D$7,0)</f>
        <v>140</v>
      </c>
      <c r="J19" s="33">
        <f>IFERROR((inputs!$G$6/100) *'master data '!H18 * inputs!$I$6,0)</f>
        <v>371.7</v>
      </c>
      <c r="K19" s="33">
        <f>IFERROR((inputs!$G$7/100) *'master data '!I18 * inputs!$I$7,0)</f>
        <v>1172.5000000000002</v>
      </c>
      <c r="L19" s="28">
        <f>IFERROR((inputs!$G$8/100) *'master data '!J18 * inputs!$I$8,0)</f>
        <v>274.40000000000003</v>
      </c>
      <c r="M19" s="14">
        <f>IFERROR((inputs!$G$10/100) *'master data '!K18 * inputs!$I$10,0)</f>
        <v>48.400000000000006</v>
      </c>
      <c r="N19" s="14">
        <f>IFERROR((inputs!$G$11/100) *'master data '!L18 * inputs!$I$11,0)</f>
        <v>232</v>
      </c>
      <c r="O19" s="28">
        <f>IFERROR((inputs!$B$15/100) *'master data '!M18 * inputs!$D$15,0)</f>
        <v>700</v>
      </c>
      <c r="P19" s="28">
        <f>IFERROR((inputs!$B$9/100) *'master data '!N18 * inputs!$D$9,0)</f>
        <v>400</v>
      </c>
      <c r="Q19" s="28">
        <f>IFERROR((inputs!$G$5/100) *'master data '!O18 * inputs!$I$5,0)</f>
        <v>122.5</v>
      </c>
      <c r="R19" s="28">
        <f>IFERROR((inputs!$B$10/100) *'master data '!P18 * inputs!$D$10,0)</f>
        <v>67.5</v>
      </c>
      <c r="S19" s="28">
        <f>IFERROR((inputs!$B$11/100) *'master data '!Q18 * inputs!$D$11,0)</f>
        <v>69</v>
      </c>
      <c r="T19" s="28">
        <f>IFERROR((inputs!$B$12/100) *'master data '!R18 * inputs!$D$12,0)</f>
        <v>61</v>
      </c>
      <c r="U19" s="28">
        <f>IFERROR((inputs!$B$13/100) *'master data '!S18 * inputs!$D$13,0)</f>
        <v>70</v>
      </c>
      <c r="V19" s="28">
        <f>IFERROR((inputs!$B$14/100) *'master data '!T18 * inputs!$D$14,0)</f>
        <v>60</v>
      </c>
      <c r="W19" s="28">
        <f>IFERROR((#REF!/100) *'master data '!U18 *#REF!,0)</f>
        <v>0</v>
      </c>
      <c r="X19" s="28">
        <f>IFERROR((#REF!/100) *'master data '!W18 *#REF!,0)</f>
        <v>0</v>
      </c>
      <c r="Y19" s="28">
        <f>IFERROR((#REF!/100) *'master data '!X18 *#REF!,0)</f>
        <v>0</v>
      </c>
      <c r="Z19" s="28">
        <f>IFERROR((#REF!/100) *'master data '!V18 *#REF!,0)</f>
        <v>0</v>
      </c>
      <c r="AA19" s="28">
        <f>IFERROR((#REF!/100) *'master data '!Y18 *#REF!,0)</f>
        <v>0</v>
      </c>
      <c r="AB19" s="29">
        <f t="shared" si="3"/>
        <v>3996.0000000000005</v>
      </c>
      <c r="AC19" s="10">
        <f t="shared" ref="AC19:AC22" si="6">AB19 / 7</f>
        <v>570.85714285714289</v>
      </c>
      <c r="AD19" s="10">
        <f>AC19 -D19</f>
        <v>170.85714285714289</v>
      </c>
      <c r="AE19" s="10" t="s">
        <v>30</v>
      </c>
      <c r="AF19" s="11">
        <f t="shared" si="5"/>
        <v>142.71428571428572</v>
      </c>
      <c r="AG19" s="34">
        <f>AC19 -E19</f>
        <v>70.85714285714289</v>
      </c>
      <c r="AH19" s="14" t="s">
        <v>30</v>
      </c>
      <c r="AI19" s="11">
        <f>AC19 /E19*100</f>
        <v>114.17142857142856</v>
      </c>
    </row>
    <row r="20" spans="1:35" x14ac:dyDescent="0.3">
      <c r="A20" s="8" t="s">
        <v>47</v>
      </c>
      <c r="B20" s="8" t="s">
        <v>26</v>
      </c>
      <c r="C20" s="8" t="s">
        <v>30</v>
      </c>
      <c r="D20" s="8">
        <v>700</v>
      </c>
      <c r="E20" s="8">
        <v>1000</v>
      </c>
      <c r="F20" s="8"/>
      <c r="G20" s="33">
        <f>IFERROR((inputs!$B$5/100) *'master data '!E19 * inputs!$D$5,0)</f>
        <v>246</v>
      </c>
      <c r="H20" s="33">
        <f>IFERROR((inputs!$B$6/100) *'master data '!F19 * inputs!$D$6,0)</f>
        <v>945</v>
      </c>
      <c r="I20" s="33">
        <f>IFERROR((inputs!$B$7/100) *'master data '!G19 * inputs!$D$7,0)</f>
        <v>1400</v>
      </c>
      <c r="J20" s="33">
        <f>IFERROR((inputs!$G$6/100) *'master data '!H19 * inputs!$I$6,0)</f>
        <v>1098.3</v>
      </c>
      <c r="K20" s="33">
        <f>IFERROR((inputs!$G$7/100) *'master data '!I19 * inputs!$I$7,0)</f>
        <v>3010</v>
      </c>
      <c r="L20" s="28">
        <f>IFERROR((inputs!$G$8/100) *'master data '!J19 * inputs!$I$8,0)</f>
        <v>449.40000000000003</v>
      </c>
      <c r="M20" s="14">
        <f>IFERROR((inputs!$G$10/100) *'master data '!K19 * inputs!$I$10,0)</f>
        <v>871.2</v>
      </c>
      <c r="N20" s="14">
        <f>IFERROR((inputs!$G$11/100) *'master data '!L19 * inputs!$I$11,0)</f>
        <v>1680</v>
      </c>
      <c r="O20" s="28">
        <f>IFERROR((inputs!$B$15/100) *'master data '!M19 * inputs!$D$15,0)</f>
        <v>1625</v>
      </c>
      <c r="P20" s="28">
        <f>IFERROR((inputs!$B$9/100) *'master data '!N19 * inputs!$D$9,0)</f>
        <v>750</v>
      </c>
      <c r="Q20" s="28">
        <f>IFERROR((inputs!$G$5/100) *'master data '!O19 * inputs!$I$5,0)</f>
        <v>563.5</v>
      </c>
      <c r="R20" s="28">
        <f>IFERROR((inputs!$B$10/100) *'master data '!P19 * inputs!$D$10,0)</f>
        <v>202.5</v>
      </c>
      <c r="S20" s="28">
        <f>IFERROR((inputs!$B$11/100) *'master data '!Q19 * inputs!$D$11,0)</f>
        <v>215</v>
      </c>
      <c r="T20" s="28">
        <f>IFERROR((inputs!$B$12/100) *'master data '!R19 * inputs!$D$12,0)</f>
        <v>195</v>
      </c>
      <c r="U20" s="28">
        <f>IFERROR((inputs!$B$13/100) *'master data '!S19 * inputs!$D$13,0)</f>
        <v>205</v>
      </c>
      <c r="V20" s="28">
        <f>IFERROR((inputs!$B$14/100) *'master data '!T19 * inputs!$D$14,0)</f>
        <v>180</v>
      </c>
      <c r="W20" s="28">
        <f>IFERROR((#REF!/100) *'master data '!U19 *#REF!,0)</f>
        <v>0</v>
      </c>
      <c r="X20" s="28">
        <f>IFERROR((#REF!/100) *'master data '!W19 *#REF!,0)</f>
        <v>0</v>
      </c>
      <c r="Y20" s="28">
        <f>IFERROR((#REF!/100) *'master data '!X19 *#REF!,0)</f>
        <v>0</v>
      </c>
      <c r="Z20" s="28">
        <f>IFERROR((#REF!/100) *'master data '!V19 *#REF!,0)</f>
        <v>0</v>
      </c>
      <c r="AA20" s="28">
        <f>IFERROR((#REF!/100) *'master data '!Y19 *#REF!,0)</f>
        <v>0</v>
      </c>
      <c r="AB20" s="29">
        <f t="shared" si="3"/>
        <v>13635.9</v>
      </c>
      <c r="AC20" s="10">
        <f t="shared" si="6"/>
        <v>1947.9857142857143</v>
      </c>
      <c r="AD20" s="10">
        <f>AC20 -D20</f>
        <v>1247.9857142857143</v>
      </c>
      <c r="AE20" s="10" t="s">
        <v>30</v>
      </c>
      <c r="AF20" s="11">
        <f t="shared" si="5"/>
        <v>278.28367346938774</v>
      </c>
      <c r="AG20" s="34">
        <f>AC20 -E20</f>
        <v>947.98571428571427</v>
      </c>
      <c r="AH20" s="8" t="s">
        <v>30</v>
      </c>
      <c r="AI20" s="11">
        <f>AC20 /E20*100</f>
        <v>194.79857142857142</v>
      </c>
    </row>
    <row r="21" spans="1:35" x14ac:dyDescent="0.3">
      <c r="A21" s="8" t="s">
        <v>48</v>
      </c>
      <c r="B21" s="8" t="s">
        <v>29</v>
      </c>
      <c r="C21" s="8" t="s">
        <v>30</v>
      </c>
      <c r="D21" s="8">
        <v>3400</v>
      </c>
      <c r="E21" s="8">
        <v>4000</v>
      </c>
      <c r="F21" s="8"/>
      <c r="G21" s="33">
        <f>IFERROR((inputs!$B$5/100) *'master data '!E20 * inputs!$D$5,0)</f>
        <v>90</v>
      </c>
      <c r="H21" s="33">
        <f>IFERROR((inputs!$B$6/100) *'master data '!F20 * inputs!$D$6,0)</f>
        <v>1575</v>
      </c>
      <c r="I21" s="33">
        <f>IFERROR((inputs!$B$7/100) *'master data '!G20 * inputs!$D$7,0)</f>
        <v>2240</v>
      </c>
      <c r="J21" s="33">
        <f>IFERROR((inputs!$G$6/100) *'master data '!H20 * inputs!$I$6,0)</f>
        <v>900.89999999999986</v>
      </c>
      <c r="K21" s="33">
        <f>IFERROR((inputs!$G$7/100) *'master data '!I20 * inputs!$I$7,0)</f>
        <v>1424.5</v>
      </c>
      <c r="L21" s="28">
        <f>IFERROR((inputs!$G$8/100) *'master data '!J20 * inputs!$I$8,0)</f>
        <v>569.10000000000014</v>
      </c>
      <c r="M21" s="14">
        <f>IFERROR((inputs!$G$10/100) *'master data '!K20 * inputs!$I$10,0)</f>
        <v>607.20000000000005</v>
      </c>
      <c r="N21" s="14">
        <f>IFERROR((inputs!$G$11/100) *'master data '!L20 * inputs!$I$11,0)</f>
        <v>2048</v>
      </c>
      <c r="O21" s="28">
        <f>IFERROR((inputs!$B$15/100) *'master data '!M20 * inputs!$D$15,0)</f>
        <v>4250</v>
      </c>
      <c r="P21" s="28">
        <f>IFERROR((inputs!$B$9/100) *'master data '!N20 * inputs!$D$9,0)</f>
        <v>2187.5</v>
      </c>
      <c r="Q21" s="28">
        <f>IFERROR((inputs!$G$5/100) *'master data '!O20 * inputs!$I$5,0)</f>
        <v>563.5</v>
      </c>
      <c r="R21" s="28">
        <f>IFERROR((inputs!$B$10/100) *'master data '!P20 * inputs!$D$10,0)</f>
        <v>575</v>
      </c>
      <c r="S21" s="28">
        <f>IFERROR((inputs!$B$11/100) *'master data '!Q20 * inputs!$D$11,0)</f>
        <v>622.5</v>
      </c>
      <c r="T21" s="28">
        <f>IFERROR((inputs!$B$12/100) *'master data '!R20 * inputs!$D$12,0)</f>
        <v>490</v>
      </c>
      <c r="U21" s="28">
        <f>IFERROR((inputs!$B$13/100) *'master data '!S20 * inputs!$D$13,0)</f>
        <v>675</v>
      </c>
      <c r="V21" s="28">
        <f>IFERROR((inputs!$B$14/100) *'master data '!T20 * inputs!$D$14,0)</f>
        <v>437.5</v>
      </c>
      <c r="W21" s="28">
        <f>IFERROR((#REF!/100) *'master data '!U20 *#REF!,0)</f>
        <v>0</v>
      </c>
      <c r="X21" s="28">
        <f>IFERROR((#REF!/100) *'master data '!W20 *#REF!,0)</f>
        <v>0</v>
      </c>
      <c r="Y21" s="28">
        <f>IFERROR((#REF!/100) *'master data '!X20 *#REF!,0)</f>
        <v>0</v>
      </c>
      <c r="Z21" s="28">
        <f>IFERROR((#REF!/100) *'master data '!V20 *#REF!,0)</f>
        <v>0</v>
      </c>
      <c r="AA21" s="28">
        <f>IFERROR((#REF!/100) *'master data '!Y20 *#REF!,0)</f>
        <v>0</v>
      </c>
      <c r="AB21" s="29">
        <f t="shared" si="3"/>
        <v>19255.7</v>
      </c>
      <c r="AC21" s="10">
        <f t="shared" si="6"/>
        <v>2750.8142857142857</v>
      </c>
      <c r="AD21" s="10">
        <f>AC21 -D21</f>
        <v>-649.18571428571431</v>
      </c>
      <c r="AE21" s="10" t="s">
        <v>30</v>
      </c>
      <c r="AF21" s="11">
        <f t="shared" si="5"/>
        <v>80.906302521008399</v>
      </c>
      <c r="AG21" s="34">
        <f>AC21 -E21</f>
        <v>-1249.1857142857143</v>
      </c>
      <c r="AH21" s="8" t="s">
        <v>30</v>
      </c>
      <c r="AI21" s="11">
        <f>AC21 /E21*100</f>
        <v>68.770357142857137</v>
      </c>
    </row>
    <row r="22" spans="1:35" x14ac:dyDescent="0.3">
      <c r="A22" s="8" t="s">
        <v>49</v>
      </c>
      <c r="B22" s="8" t="s">
        <v>29</v>
      </c>
      <c r="C22" s="8" t="s">
        <v>30</v>
      </c>
      <c r="D22" s="8">
        <v>1500</v>
      </c>
      <c r="E22" s="8">
        <v>2000</v>
      </c>
      <c r="F22" s="8"/>
      <c r="G22" s="33">
        <f>IFERROR((inputs!$B$5/100) *'master data '!E21 * inputs!$D$5,0)</f>
        <v>25</v>
      </c>
      <c r="H22" s="33">
        <f>IFERROR((inputs!$B$6/100) *'master data '!F21 * inputs!$D$6,0)</f>
        <v>462</v>
      </c>
      <c r="I22" s="33">
        <f>IFERROR((inputs!$B$7/100) *'master data '!G21 * inputs!$D$7,0)</f>
        <v>700</v>
      </c>
      <c r="J22" s="33">
        <f>IFERROR((inputs!$G$6/100) *'master data '!H21 * inputs!$I$6,0)</f>
        <v>4.2</v>
      </c>
      <c r="K22" s="33">
        <f>IFERROR((inputs!$G$7/100) *'master data '!I21 * inputs!$I$7,0)</f>
        <v>56.000000000000007</v>
      </c>
      <c r="L22" s="28">
        <f>IFERROR((inputs!$G$8/100) *'master data '!J21 * inputs!$I$8,0)</f>
        <v>21</v>
      </c>
      <c r="M22" s="14">
        <f>IFERROR((inputs!$G$10/100) *'master data '!K21 * inputs!$I$10,0)</f>
        <v>624.80000000000007</v>
      </c>
      <c r="N22" s="14">
        <f>IFERROR((inputs!$G$11/100) *'master data '!L21 * inputs!$I$11,0)</f>
        <v>560</v>
      </c>
      <c r="O22" s="28">
        <f>IFERROR((inputs!$B$15/100) *'master data '!M21 * inputs!$D$15,0)</f>
        <v>5</v>
      </c>
      <c r="P22" s="28">
        <f>IFERROR((inputs!$B$9/100) *'master data '!N21 * inputs!$D$9,0)</f>
        <v>50</v>
      </c>
      <c r="Q22" s="28">
        <f>IFERROR((inputs!$G$5/100) *'master data '!O21 * inputs!$I$5,0)</f>
        <v>9.7999999999999989</v>
      </c>
      <c r="R22" s="28">
        <f>IFERROR((inputs!$B$10/100) *'master data '!P21 * inputs!$D$10,0)</f>
        <v>6</v>
      </c>
      <c r="S22" s="28">
        <f>IFERROR((inputs!$B$11/100) *'master data '!Q21 * inputs!$D$11,0)</f>
        <v>7.5</v>
      </c>
      <c r="T22" s="28">
        <f>IFERROR((inputs!$B$12/100) *'master data '!R21 * inputs!$D$12,0)</f>
        <v>5</v>
      </c>
      <c r="U22" s="28">
        <f>IFERROR((inputs!$B$13/100) *'master data '!S21 * inputs!$D$13,0)</f>
        <v>6</v>
      </c>
      <c r="V22" s="28">
        <f>IFERROR((inputs!$B$14/100) *'master data '!T21 * inputs!$D$14,0)</f>
        <v>5</v>
      </c>
      <c r="W22" s="28">
        <f>IFERROR((#REF!/100) *'master data '!U21 *#REF!,0)</f>
        <v>0</v>
      </c>
      <c r="X22" s="28">
        <f>IFERROR((#REF!/100) *'master data '!W21 *#REF!,0)</f>
        <v>0</v>
      </c>
      <c r="Y22" s="28">
        <f>IFERROR((#REF!/100) *'master data '!X21 *#REF!,0)</f>
        <v>0</v>
      </c>
      <c r="Z22" s="28">
        <f>IFERROR((#REF!/100) *'master data '!V21 *#REF!,0)</f>
        <v>0</v>
      </c>
      <c r="AA22" s="28">
        <f>IFERROR((#REF!/100) *'master data '!Y21 *#REF!,0)</f>
        <v>0</v>
      </c>
      <c r="AB22" s="29">
        <f t="shared" si="3"/>
        <v>2547.3000000000002</v>
      </c>
      <c r="AC22" s="10">
        <f t="shared" si="6"/>
        <v>363.90000000000003</v>
      </c>
      <c r="AD22" s="10">
        <f>AC22 -D22</f>
        <v>-1136.0999999999999</v>
      </c>
      <c r="AE22" s="10" t="s">
        <v>30</v>
      </c>
      <c r="AF22" s="11">
        <f t="shared" si="5"/>
        <v>24.26</v>
      </c>
      <c r="AG22" s="34">
        <f>AC22 -E22</f>
        <v>-1636.1</v>
      </c>
      <c r="AH22" s="8" t="s">
        <v>30</v>
      </c>
      <c r="AI22" s="11">
        <f>AC22 /E22*100</f>
        <v>18.195000000000004</v>
      </c>
    </row>
    <row r="23" spans="1:35" s="17" customFormat="1" x14ac:dyDescent="0.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</row>
    <row r="24" spans="1:35" x14ac:dyDescent="0.3">
      <c r="A24" s="14" t="s">
        <v>51</v>
      </c>
      <c r="B24" s="14" t="s">
        <v>26</v>
      </c>
      <c r="C24" s="14" t="s">
        <v>30</v>
      </c>
      <c r="D24" s="14">
        <v>8</v>
      </c>
      <c r="E24" s="8">
        <v>15</v>
      </c>
      <c r="F24" s="8"/>
      <c r="G24" s="33">
        <f>IFERROR((inputs!$B$5/100) *'master data '!E23 * inputs!$D$5,0)</f>
        <v>0.3</v>
      </c>
      <c r="H24" s="33">
        <f>IFERROR((inputs!$B$6/100) *'master data '!F23 * inputs!$D$6,0)</f>
        <v>1.0500000000000003</v>
      </c>
      <c r="I24" s="33">
        <f>IFERROR((inputs!$B$7/100) *'master data '!G23 * inputs!$D$7,0)</f>
        <v>0.42</v>
      </c>
      <c r="J24" s="33">
        <f>IFERROR((inputs!$G$6/100) *'master data '!H23 * inputs!$I$6,0)</f>
        <v>9.8699999999999992</v>
      </c>
      <c r="K24" s="33">
        <f>IFERROR((inputs!$G$7/100) *'master data '!I23 * inputs!$I$7,0)</f>
        <v>26.950000000000003</v>
      </c>
      <c r="L24" s="28">
        <f>IFERROR((inputs!$G$8/100) *'master data '!J23 * inputs!$I$8,0)</f>
        <v>3.99</v>
      </c>
      <c r="M24" s="14">
        <f>IFERROR((inputs!$G$10/100) *'master data '!K23 * inputs!$I$10,0)</f>
        <v>7.9200000000000008</v>
      </c>
      <c r="N24" s="14">
        <f>IFERROR((inputs!$G$11/100) *'master data '!L23 * inputs!$I$11,0)</f>
        <v>5.6</v>
      </c>
      <c r="O24" s="28">
        <f>IFERROR((inputs!$B$15/100) *'master data '!M23 * inputs!$D$15,0)</f>
        <v>39.25</v>
      </c>
      <c r="P24" s="28">
        <f>IFERROR((inputs!$B$9/100) *'master data '!N23 * inputs!$D$9,0)</f>
        <v>17.5</v>
      </c>
      <c r="Q24" s="28">
        <f>IFERROR((inputs!$G$5/100) *'master data '!O23 * inputs!$I$5,0)</f>
        <v>4.8999999999999995</v>
      </c>
      <c r="R24" s="28">
        <f>IFERROR((inputs!$B$10/100) *'master data '!P23 * inputs!$D$10,0)</f>
        <v>3.45</v>
      </c>
      <c r="S24" s="28">
        <f>IFERROR((inputs!$B$11/100) *'master data '!Q23 * inputs!$D$11,0)</f>
        <v>3.6</v>
      </c>
      <c r="T24" s="28">
        <f>IFERROR((inputs!$B$12/100) *'master data '!R23 * inputs!$D$12,0)</f>
        <v>3.75</v>
      </c>
      <c r="U24" s="28">
        <f>IFERROR((inputs!$B$13/100) *'master data '!S23 * inputs!$D$13,0)</f>
        <v>4.0999999999999996</v>
      </c>
      <c r="V24" s="28">
        <f>IFERROR((inputs!$B$14/100) *'master data '!T23 * inputs!$D$14,0)</f>
        <v>3.1</v>
      </c>
      <c r="W24" s="28">
        <f>IFERROR((#REF!/100) *'master data '!U23 *#REF!,0)</f>
        <v>0</v>
      </c>
      <c r="X24" s="28">
        <f>IFERROR((#REF!/100) *'master data '!W23 *#REF!,0)</f>
        <v>0</v>
      </c>
      <c r="Y24" s="28">
        <f>IFERROR((#REF!/100) *'master data '!X23 *#REF!,0)</f>
        <v>0</v>
      </c>
      <c r="Z24" s="28">
        <f>IFERROR((#REF!/100) *'master data '!V23 *#REF!,0)</f>
        <v>0</v>
      </c>
      <c r="AA24" s="28">
        <f>IFERROR((#REF!/100) *'master data '!Y23 *#REF!,0)</f>
        <v>0</v>
      </c>
      <c r="AB24" s="29">
        <f t="shared" si="3"/>
        <v>135.75</v>
      </c>
      <c r="AC24" s="10">
        <f t="shared" ref="AC24:AC71" si="7">AB24 / 7</f>
        <v>19.392857142857142</v>
      </c>
      <c r="AD24" s="10">
        <f t="shared" ref="AD24:AD34" si="8">AC24 -D24</f>
        <v>11.392857142857142</v>
      </c>
      <c r="AE24" s="10" t="s">
        <v>30</v>
      </c>
      <c r="AF24" s="11">
        <f t="shared" si="5"/>
        <v>242.41071428571428</v>
      </c>
      <c r="AG24" s="34">
        <f t="shared" ref="AG24:AG34" si="9">AC24 -E24</f>
        <v>4.3928571428571423</v>
      </c>
      <c r="AH24" s="14" t="s">
        <v>30</v>
      </c>
      <c r="AI24" s="11">
        <f t="shared" ref="AI24:AI34" si="10">AC24 /E24*100</f>
        <v>129.28571428571431</v>
      </c>
    </row>
    <row r="25" spans="1:35" x14ac:dyDescent="0.3">
      <c r="A25" s="14" t="s">
        <v>52</v>
      </c>
      <c r="B25" s="14" t="s">
        <v>29</v>
      </c>
      <c r="C25" s="14" t="s">
        <v>30</v>
      </c>
      <c r="D25" s="14">
        <v>11</v>
      </c>
      <c r="E25" s="8">
        <v>15</v>
      </c>
      <c r="F25" s="8"/>
      <c r="G25" s="33">
        <f>IFERROR((inputs!$B$5/100) *'master data '!E24 * inputs!$D$5,0)</f>
        <v>3.6</v>
      </c>
      <c r="H25" s="33">
        <f>IFERROR((inputs!$B$6/100) *'master data '!F24 * inputs!$D$6,0)</f>
        <v>4.2000000000000011</v>
      </c>
      <c r="I25" s="33">
        <f>IFERROR((inputs!$B$7/100) *'master data '!G24 * inputs!$D$7,0)</f>
        <v>4.9000000000000004</v>
      </c>
      <c r="J25" s="33">
        <f>IFERROR((inputs!$G$6/100) *'master data '!H24 * inputs!$I$6,0)</f>
        <v>7.3500000000000005</v>
      </c>
      <c r="K25" s="33">
        <f>IFERROR((inputs!$G$7/100) *'master data '!I24 * inputs!$I$7,0)</f>
        <v>16.100000000000001</v>
      </c>
      <c r="L25" s="28">
        <f>IFERROR((inputs!$G$8/100) *'master data '!J24 * inputs!$I$8,0)</f>
        <v>3.01</v>
      </c>
      <c r="M25" s="14">
        <f>IFERROR((inputs!$G$10/100) *'master data '!K24 * inputs!$I$10,0)</f>
        <v>5.7200000000000006</v>
      </c>
      <c r="N25" s="14">
        <f>IFERROR((inputs!$G$11/100) *'master data '!L24 * inputs!$I$11,0)</f>
        <v>8</v>
      </c>
      <c r="O25" s="28">
        <f>IFERROR((inputs!$B$15/100) *'master data '!M24 * inputs!$D$15,0)</f>
        <v>12.25</v>
      </c>
      <c r="P25" s="28">
        <f>IFERROR((inputs!$B$9/100) *'master data '!N24 * inputs!$D$9,0)</f>
        <v>7.75</v>
      </c>
      <c r="Q25" s="28">
        <f>IFERROR((inputs!$G$5/100) *'master data '!O24 * inputs!$I$5,0)</f>
        <v>5.88</v>
      </c>
      <c r="R25" s="28">
        <f>IFERROR((inputs!$B$10/100) *'master data '!P24 * inputs!$D$10,0)</f>
        <v>1.35</v>
      </c>
      <c r="S25" s="28">
        <f>IFERROR((inputs!$B$11/100) *'master data '!Q24 * inputs!$D$11,0)</f>
        <v>1.45</v>
      </c>
      <c r="T25" s="28">
        <f>IFERROR((inputs!$B$12/100) *'master data '!R24 * inputs!$D$12,0)</f>
        <v>1.25</v>
      </c>
      <c r="U25" s="28">
        <f>IFERROR((inputs!$B$13/100) *'master data '!S24 * inputs!$D$13,0)</f>
        <v>1.4</v>
      </c>
      <c r="V25" s="28">
        <f>IFERROR((inputs!$B$14/100) *'master data '!T24 * inputs!$D$14,0)</f>
        <v>1.3</v>
      </c>
      <c r="W25" s="28">
        <f>IFERROR((#REF!/100) *'master data '!U24 *#REF!,0)</f>
        <v>0</v>
      </c>
      <c r="X25" s="28">
        <f>IFERROR((#REF!/100) *'master data '!W24 *#REF!,0)</f>
        <v>0</v>
      </c>
      <c r="Y25" s="28">
        <f>IFERROR((#REF!/100) *'master data '!X24 *#REF!,0)</f>
        <v>0</v>
      </c>
      <c r="Z25" s="28">
        <f>IFERROR((#REF!/100) *'master data '!V24 *#REF!,0)</f>
        <v>0</v>
      </c>
      <c r="AA25" s="28">
        <f>IFERROR((#REF!/100) *'master data '!Y24 *#REF!,0)</f>
        <v>0</v>
      </c>
      <c r="AB25" s="29">
        <f t="shared" si="3"/>
        <v>85.509999999999991</v>
      </c>
      <c r="AC25" s="10">
        <f t="shared" si="7"/>
        <v>12.215714285714284</v>
      </c>
      <c r="AD25" s="10">
        <f t="shared" si="8"/>
        <v>1.2157142857142844</v>
      </c>
      <c r="AE25" s="10" t="s">
        <v>30</v>
      </c>
      <c r="AF25" s="11">
        <f t="shared" si="5"/>
        <v>111.05194805194805</v>
      </c>
      <c r="AG25" s="34">
        <f t="shared" si="9"/>
        <v>-2.7842857142857156</v>
      </c>
      <c r="AH25" s="8" t="s">
        <v>30</v>
      </c>
      <c r="AI25" s="11">
        <f t="shared" si="10"/>
        <v>81.438095238095229</v>
      </c>
    </row>
    <row r="26" spans="1:35" x14ac:dyDescent="0.3">
      <c r="A26" s="14" t="s">
        <v>53</v>
      </c>
      <c r="B26" s="14" t="s">
        <v>26</v>
      </c>
      <c r="C26" s="14" t="s">
        <v>27</v>
      </c>
      <c r="D26" s="14">
        <v>900</v>
      </c>
      <c r="E26" s="8">
        <v>1500</v>
      </c>
      <c r="F26" s="8"/>
      <c r="G26" s="33">
        <f>IFERROR((inputs!$B$5/100) *'master data '!E25 * inputs!$D$5,0)</f>
        <v>1.5</v>
      </c>
      <c r="H26" s="33">
        <f>IFERROR((inputs!$B$6/100) *'master data '!F25 * inputs!$D$6,0)</f>
        <v>126</v>
      </c>
      <c r="I26" s="33">
        <f>IFERROR((inputs!$B$7/100) *'master data '!G25 * inputs!$D$7,0)</f>
        <v>7.0000000000000007E-2</v>
      </c>
      <c r="J26" s="33">
        <f>IFERROR((inputs!$G$6/100) *'master data '!H25 * inputs!$I$6,0)</f>
        <v>840</v>
      </c>
      <c r="K26" s="33">
        <f>IFERROR((inputs!$G$7/100) *'master data '!I25 * inputs!$I$7,0)</f>
        <v>3220.0000000000005</v>
      </c>
      <c r="L26" s="28">
        <f>IFERROR((inputs!$G$8/100) *'master data '!J25 * inputs!$I$8,0)</f>
        <v>854</v>
      </c>
      <c r="M26" s="14">
        <f>IFERROR((inputs!$G$10/100) *'master data '!K25 * inputs!$I$10,0)</f>
        <v>316.8</v>
      </c>
      <c r="N26" s="14">
        <f>IFERROR((inputs!$G$11/100) *'master data '!L25 * inputs!$I$11,0)</f>
        <v>320</v>
      </c>
      <c r="O26" s="28">
        <f>IFERROR((inputs!$B$15/100) *'master data '!M25 * inputs!$D$15,0)</f>
        <v>3750</v>
      </c>
      <c r="P26" s="28">
        <f>IFERROR((inputs!$B$9/100) *'master data '!N25 * inputs!$D$9,0)</f>
        <v>1600</v>
      </c>
      <c r="Q26" s="28">
        <f>IFERROR((inputs!$G$5/100) *'master data '!O25 * inputs!$I$5,0)</f>
        <v>0.73499999999999999</v>
      </c>
      <c r="R26" s="28">
        <f>IFERROR((inputs!$B$10/100) *'master data '!P25 * inputs!$D$10,0)</f>
        <v>0.42499999999999999</v>
      </c>
      <c r="S26" s="28">
        <f>IFERROR((inputs!$B$11/100) *'master data '!Q25 * inputs!$D$11,0)</f>
        <v>0.47499999999999998</v>
      </c>
      <c r="T26" s="28">
        <f>IFERROR((inputs!$B$12/100) *'master data '!R25 * inputs!$D$12,0)</f>
        <v>0.375</v>
      </c>
      <c r="U26" s="28">
        <f>IFERROR((inputs!$B$13/100) *'master data '!S25 * inputs!$D$13,0)</f>
        <v>0.45</v>
      </c>
      <c r="V26" s="28">
        <f>IFERROR((inputs!$B$14/100) *'master data '!T25 * inputs!$D$14,0)</f>
        <v>0.35</v>
      </c>
      <c r="W26" s="28">
        <f>IFERROR((#REF!/100) *'master data '!U25 *#REF!,0)</f>
        <v>0</v>
      </c>
      <c r="X26" s="28">
        <f>IFERROR((#REF!/100) *'master data '!W25 *#REF!,0)</f>
        <v>0</v>
      </c>
      <c r="Y26" s="28">
        <f>IFERROR((#REF!/100) *'master data '!X25 *#REF!,0)</f>
        <v>0</v>
      </c>
      <c r="Z26" s="28">
        <f>IFERROR((#REF!/100) *'master data '!V25 *#REF!,0)</f>
        <v>0</v>
      </c>
      <c r="AA26" s="28">
        <f>IFERROR((#REF!/100) *'master data '!Y25 *#REF!,0)</f>
        <v>0</v>
      </c>
      <c r="AB26" s="29">
        <f t="shared" si="3"/>
        <v>11031.180000000002</v>
      </c>
      <c r="AC26" s="10">
        <f t="shared" si="7"/>
        <v>1575.8828571428573</v>
      </c>
      <c r="AD26" s="10">
        <f t="shared" si="8"/>
        <v>675.88285714285735</v>
      </c>
      <c r="AE26" s="10" t="s">
        <v>27</v>
      </c>
      <c r="AF26" s="11">
        <f t="shared" si="5"/>
        <v>175.09809523809525</v>
      </c>
      <c r="AG26" s="34">
        <f t="shared" si="9"/>
        <v>75.882857142857347</v>
      </c>
      <c r="AH26" s="8" t="s">
        <v>27</v>
      </c>
      <c r="AI26" s="11">
        <f t="shared" si="10"/>
        <v>105.05885714285716</v>
      </c>
    </row>
    <row r="27" spans="1:35" x14ac:dyDescent="0.3">
      <c r="A27" s="14" t="s">
        <v>54</v>
      </c>
      <c r="B27" s="14" t="s">
        <v>26</v>
      </c>
      <c r="C27" s="14" t="s">
        <v>27</v>
      </c>
      <c r="D27" s="14">
        <v>150</v>
      </c>
      <c r="E27" s="8">
        <v>200</v>
      </c>
      <c r="F27" s="8"/>
      <c r="G27" s="33">
        <f>IFERROR((inputs!$B$5/100) *'master data '!E26 * inputs!$D$5,0)</f>
        <v>45</v>
      </c>
      <c r="H27" s="33">
        <f>IFERROR((inputs!$B$6/100) *'master data '!F26 * inputs!$D$6,0)</f>
        <v>210</v>
      </c>
      <c r="I27" s="33">
        <f>IFERROR((inputs!$B$7/100) *'master data '!G26 * inputs!$D$7,0)</f>
        <v>280</v>
      </c>
      <c r="J27" s="33">
        <f>IFERROR((inputs!$G$6/100) *'master data '!H26 * inputs!$I$6,0)</f>
        <v>10.5</v>
      </c>
      <c r="K27" s="33">
        <f>IFERROR((inputs!$G$7/100) *'master data '!I26 * inputs!$I$7,0)</f>
        <v>0</v>
      </c>
      <c r="L27" s="28">
        <f>IFERROR((inputs!$G$8/100) *'master data '!J26 * inputs!$I$8,0)</f>
        <v>0</v>
      </c>
      <c r="M27" s="14">
        <f>IFERROR((inputs!$G$10/100) *'master data '!K26 * inputs!$I$10,0)</f>
        <v>220.00000000000003</v>
      </c>
      <c r="N27" s="14">
        <f>IFERROR((inputs!$G$11/100) *'master data '!L26 * inputs!$I$11,0)</f>
        <v>56</v>
      </c>
      <c r="O27" s="28">
        <f>IFERROR((inputs!$B$15/100) *'master data '!M26 * inputs!$D$15,0)</f>
        <v>7.5</v>
      </c>
      <c r="P27" s="28">
        <f>IFERROR((inputs!$B$9/100) *'master data '!N26 * inputs!$D$9,0)</f>
        <v>12.5</v>
      </c>
      <c r="Q27" s="28">
        <f>IFERROR((inputs!$G$5/100) *'master data '!O26 * inputs!$I$5,0)</f>
        <v>0</v>
      </c>
      <c r="R27" s="28">
        <f>IFERROR((inputs!$B$10/100) *'master data '!P26 * inputs!$D$10,0)</f>
        <v>1.5</v>
      </c>
      <c r="S27" s="28">
        <f>IFERROR((inputs!$B$11/100) *'master data '!Q26 * inputs!$D$11,0)</f>
        <v>1.5</v>
      </c>
      <c r="T27" s="28">
        <f>IFERROR((inputs!$B$12/100) *'master data '!R26 * inputs!$D$12,0)</f>
        <v>1.5</v>
      </c>
      <c r="U27" s="28">
        <f>IFERROR((inputs!$B$13/100) *'master data '!S26 * inputs!$D$13,0)</f>
        <v>2</v>
      </c>
      <c r="V27" s="28">
        <f>IFERROR((inputs!$B$14/100) *'master data '!T26 * inputs!$D$14,0)</f>
        <v>1.5</v>
      </c>
      <c r="W27" s="28">
        <f>IFERROR((#REF!/100) *'master data '!U26 *#REF!,0)</f>
        <v>0</v>
      </c>
      <c r="X27" s="28">
        <f>IFERROR((#REF!/100) *'master data '!W26 *#REF!,0)</f>
        <v>0</v>
      </c>
      <c r="Y27" s="28">
        <f>IFERROR((#REF!/100) *'master data '!X26 *#REF!,0)</f>
        <v>0</v>
      </c>
      <c r="Z27" s="28">
        <f>IFERROR((#REF!/100) *'master data '!V26 *#REF!,0)</f>
        <v>0</v>
      </c>
      <c r="AA27" s="28">
        <f>IFERROR((#REF!/100) *'master data '!Y26 *#REF!,0)</f>
        <v>0</v>
      </c>
      <c r="AB27" s="29">
        <f t="shared" si="3"/>
        <v>849.5</v>
      </c>
      <c r="AC27" s="10">
        <f t="shared" si="7"/>
        <v>121.35714285714286</v>
      </c>
      <c r="AD27" s="10">
        <f t="shared" si="8"/>
        <v>-28.642857142857139</v>
      </c>
      <c r="AE27" s="10" t="s">
        <v>27</v>
      </c>
      <c r="AF27" s="11">
        <f t="shared" si="5"/>
        <v>80.904761904761912</v>
      </c>
      <c r="AG27" s="34">
        <f t="shared" si="9"/>
        <v>-78.642857142857139</v>
      </c>
      <c r="AH27" s="8" t="s">
        <v>27</v>
      </c>
      <c r="AI27" s="11">
        <f t="shared" si="10"/>
        <v>60.678571428571423</v>
      </c>
    </row>
    <row r="28" spans="1:35" x14ac:dyDescent="0.3">
      <c r="A28" s="8" t="s">
        <v>55</v>
      </c>
      <c r="B28" s="8" t="s">
        <v>29</v>
      </c>
      <c r="C28" s="8" t="s">
        <v>27</v>
      </c>
      <c r="D28" s="8">
        <v>55</v>
      </c>
      <c r="E28" s="8">
        <v>150</v>
      </c>
      <c r="F28" s="8"/>
      <c r="G28" s="33">
        <f>IFERROR((inputs!$B$5/100) *'master data '!E27 * inputs!$D$5,0)</f>
        <v>12</v>
      </c>
      <c r="H28" s="33">
        <f>IFERROR((inputs!$B$6/100) *'master data '!F27 * inputs!$D$6,0)</f>
        <v>21</v>
      </c>
      <c r="I28" s="33">
        <f>IFERROR((inputs!$B$7/100) *'master data '!G27 * inputs!$D$7,0)</f>
        <v>42</v>
      </c>
      <c r="J28" s="33">
        <f>IFERROR((inputs!$G$6/100) *'master data '!H27 * inputs!$I$6,0)</f>
        <v>71.399999999999991</v>
      </c>
      <c r="K28" s="33">
        <f>IFERROR((inputs!$G$7/100) *'master data '!I27 * inputs!$I$7,0)</f>
        <v>196.00000000000003</v>
      </c>
      <c r="L28" s="28">
        <f>IFERROR((inputs!$G$8/100) *'master data '!J27 * inputs!$I$8,0)</f>
        <v>17.5</v>
      </c>
      <c r="M28" s="14">
        <f>IFERROR((inputs!$G$10/100) *'master data '!K27 * inputs!$I$10,0)</f>
        <v>132</v>
      </c>
      <c r="N28" s="14">
        <f>IFERROR((inputs!$G$11/100) *'master data '!L27 * inputs!$I$11,0)</f>
        <v>216</v>
      </c>
      <c r="O28" s="28">
        <f>IFERROR((inputs!$B$15/100) *'master data '!M27 * inputs!$D$15,0)</f>
        <v>42.5</v>
      </c>
      <c r="P28" s="28">
        <f>IFERROR((inputs!$B$9/100) *'master data '!N27 * inputs!$D$9,0)</f>
        <v>20</v>
      </c>
      <c r="Q28" s="28">
        <f>IFERROR((inputs!$G$5/100) *'master data '!O27 * inputs!$I$5,0)</f>
        <v>34.299999999999997</v>
      </c>
      <c r="R28" s="28">
        <f>IFERROR((inputs!$B$10/100) *'master data '!P27 * inputs!$D$10,0)</f>
        <v>3</v>
      </c>
      <c r="S28" s="28">
        <f>IFERROR((inputs!$B$11/100) *'master data '!Q27 * inputs!$D$11,0)</f>
        <v>3.5</v>
      </c>
      <c r="T28" s="28">
        <f>IFERROR((inputs!$B$12/100) *'master data '!R27 * inputs!$D$12,0)</f>
        <v>2.5</v>
      </c>
      <c r="U28" s="28">
        <f>IFERROR((inputs!$B$13/100) *'master data '!S27 * inputs!$D$13,0)</f>
        <v>4</v>
      </c>
      <c r="V28" s="28">
        <f>IFERROR((inputs!$B$14/100) *'master data '!T27 * inputs!$D$14,0)</f>
        <v>3</v>
      </c>
      <c r="W28" s="28">
        <f>IFERROR((#REF!/100) *'master data '!U27 *#REF!,0)</f>
        <v>0</v>
      </c>
      <c r="X28" s="28">
        <f>IFERROR((#REF!/100) *'master data '!W27 *#REF!,0)</f>
        <v>0</v>
      </c>
      <c r="Y28" s="28">
        <f>IFERROR((#REF!/100) *'master data '!X27 *#REF!,0)</f>
        <v>0</v>
      </c>
      <c r="Z28" s="28">
        <f>IFERROR((#REF!/100) *'master data '!V27 *#REF!,0)</f>
        <v>0</v>
      </c>
      <c r="AA28" s="28">
        <f>IFERROR((#REF!/100) *'master data '!Y27 *#REF!,0)</f>
        <v>0</v>
      </c>
      <c r="AB28" s="29">
        <f t="shared" si="3"/>
        <v>820.69999999999993</v>
      </c>
      <c r="AC28" s="10">
        <f t="shared" si="7"/>
        <v>117.24285714285713</v>
      </c>
      <c r="AD28" s="10">
        <f t="shared" si="8"/>
        <v>62.242857142857133</v>
      </c>
      <c r="AE28" s="10" t="s">
        <v>27</v>
      </c>
      <c r="AF28" s="11">
        <f t="shared" si="5"/>
        <v>213.16883116883116</v>
      </c>
      <c r="AG28" s="34">
        <f t="shared" si="9"/>
        <v>-32.757142857142867</v>
      </c>
      <c r="AH28" s="8" t="s">
        <v>27</v>
      </c>
      <c r="AI28" s="11">
        <f t="shared" si="10"/>
        <v>78.161904761904751</v>
      </c>
    </row>
    <row r="29" spans="1:35" x14ac:dyDescent="0.3">
      <c r="A29" s="8" t="s">
        <v>56</v>
      </c>
      <c r="B29" s="8" t="s">
        <v>29</v>
      </c>
      <c r="C29" s="8" t="s">
        <v>27</v>
      </c>
      <c r="D29" s="8">
        <v>35</v>
      </c>
      <c r="E29" s="8">
        <v>100</v>
      </c>
      <c r="F29" s="8"/>
      <c r="G29" s="33">
        <f>IFERROR((inputs!$B$5/100) *'master data '!E28 * inputs!$D$5,0)</f>
        <v>6.9</v>
      </c>
      <c r="H29" s="33">
        <f>IFERROR((inputs!$B$6/100) *'master data '!F28 * inputs!$D$6,0)</f>
        <v>10.5</v>
      </c>
      <c r="I29" s="33">
        <f>IFERROR((inputs!$B$7/100) *'master data '!G28 * inputs!$D$7,0)</f>
        <v>4.2000000000000011</v>
      </c>
      <c r="J29" s="33">
        <f>IFERROR((inputs!$G$6/100) *'master data '!H28 * inputs!$I$6,0)</f>
        <v>4.2</v>
      </c>
      <c r="K29" s="33">
        <f>IFERROR((inputs!$G$7/100) *'master data '!I28 * inputs!$I$7,0)</f>
        <v>0.70000000000000007</v>
      </c>
      <c r="L29" s="28">
        <f>IFERROR((inputs!$G$8/100) *'master data '!J28 * inputs!$I$8,0)</f>
        <v>0.14000000000000001</v>
      </c>
      <c r="M29" s="14">
        <f>IFERROR((inputs!$G$10/100) *'master data '!K28 * inputs!$I$10,0)</f>
        <v>0.44000000000000006</v>
      </c>
      <c r="N29" s="14">
        <f>IFERROR((inputs!$G$11/100) *'master data '!L28 * inputs!$I$11,0)</f>
        <v>16</v>
      </c>
      <c r="O29" s="28">
        <f>IFERROR((inputs!$B$15/100) *'master data '!M28 * inputs!$D$15,0)</f>
        <v>6.25</v>
      </c>
      <c r="P29" s="28">
        <f>IFERROR((inputs!$B$9/100) *'master data '!N28 * inputs!$D$9,0)</f>
        <v>5</v>
      </c>
      <c r="Q29" s="28">
        <f>IFERROR((inputs!$G$5/100) *'master data '!O28 * inputs!$I$5,0)</f>
        <v>9.7999999999999989</v>
      </c>
      <c r="R29" s="28">
        <f>IFERROR((inputs!$B$10/100) *'master data '!P28 * inputs!$D$10,0)</f>
        <v>6</v>
      </c>
      <c r="S29" s="28">
        <f>IFERROR((inputs!$B$11/100) *'master data '!Q28 * inputs!$D$11,0)</f>
        <v>6.5</v>
      </c>
      <c r="T29" s="28">
        <f>IFERROR((inputs!$B$12/100) *'master data '!R28 * inputs!$D$12,0)</f>
        <v>5.5</v>
      </c>
      <c r="U29" s="28">
        <f>IFERROR((inputs!$B$13/100) *'master data '!S28 * inputs!$D$13,0)</f>
        <v>7</v>
      </c>
      <c r="V29" s="28">
        <f>IFERROR((inputs!$B$14/100) *'master data '!T28 * inputs!$D$14,0)</f>
        <v>5</v>
      </c>
      <c r="W29" s="28">
        <f>IFERROR((#REF!/100) *'master data '!U28 *#REF!,0)</f>
        <v>0</v>
      </c>
      <c r="X29" s="28">
        <f>IFERROR((#REF!/100) *'master data '!W28 *#REF!,0)</f>
        <v>0</v>
      </c>
      <c r="Y29" s="28">
        <f>IFERROR((#REF!/100) *'master data '!X28 *#REF!,0)</f>
        <v>0</v>
      </c>
      <c r="Z29" s="14">
        <f>IFERROR((#REF!/100) *#REF! *#REF!,0)</f>
        <v>0</v>
      </c>
      <c r="AA29" s="28">
        <f>IFERROR((#REF!/100) *'master data '!Y28 *#REF!,0)</f>
        <v>0</v>
      </c>
      <c r="AB29" s="29">
        <f t="shared" si="3"/>
        <v>94.13</v>
      </c>
      <c r="AC29" s="10">
        <f t="shared" si="7"/>
        <v>13.447142857142856</v>
      </c>
      <c r="AD29" s="10">
        <f t="shared" si="8"/>
        <v>-21.552857142857142</v>
      </c>
      <c r="AE29" s="10" t="s">
        <v>27</v>
      </c>
      <c r="AF29" s="11">
        <f t="shared" si="5"/>
        <v>38.4204081632653</v>
      </c>
      <c r="AG29" s="34">
        <f t="shared" si="9"/>
        <v>-86.55285714285715</v>
      </c>
      <c r="AH29" s="8" t="s">
        <v>27</v>
      </c>
      <c r="AI29" s="11">
        <f t="shared" si="10"/>
        <v>13.447142857142854</v>
      </c>
    </row>
    <row r="30" spans="1:35" x14ac:dyDescent="0.3">
      <c r="A30" s="8" t="s">
        <v>57</v>
      </c>
      <c r="B30" s="8" t="s">
        <v>29</v>
      </c>
      <c r="C30" s="8" t="s">
        <v>30</v>
      </c>
      <c r="D30" s="8">
        <v>2</v>
      </c>
      <c r="E30" s="8">
        <v>4</v>
      </c>
      <c r="F30" s="8"/>
      <c r="G30" s="33">
        <f>IFERROR((inputs!$B$5/100) *'master data '!E29 * inputs!$D$5,0)</f>
        <v>1.2</v>
      </c>
      <c r="H30" s="33">
        <f>IFERROR((inputs!$B$6/100) *'master data '!F29 * inputs!$D$6,0)</f>
        <v>0.21</v>
      </c>
      <c r="I30" s="33">
        <f>IFERROR((inputs!$B$7/100) *'master data '!G29 * inputs!$D$7,0)</f>
        <v>0.14000000000000001</v>
      </c>
      <c r="J30" s="33">
        <f>IFERROR((inputs!$G$6/100) *'master data '!H29 * inputs!$I$6,0)</f>
        <v>7.5600000000000005</v>
      </c>
      <c r="K30" s="33">
        <f>IFERROR((inputs!$G$7/100) *'master data '!I29 * inputs!$I$7,0)</f>
        <v>9.4500000000000011</v>
      </c>
      <c r="L30" s="28">
        <f>IFERROR((inputs!$G$8/100) *'master data '!J29 * inputs!$I$8,0)</f>
        <v>1.75</v>
      </c>
      <c r="M30" s="14">
        <f>IFERROR((inputs!$G$10/100) *'master data '!K29 * inputs!$I$10,0)</f>
        <v>0</v>
      </c>
      <c r="N30" s="14">
        <f>IFERROR((inputs!$G$11/100) *'master data '!L29 * inputs!$I$11,0)</f>
        <v>0.16</v>
      </c>
      <c r="O30" s="28">
        <f>IFERROR((inputs!$B$15/100) *'master data '!M29 * inputs!$D$15,0)</f>
        <v>5.5</v>
      </c>
      <c r="P30" s="28">
        <f>IFERROR((inputs!$B$9/100) *'master data '!N29 * inputs!$D$9,0)</f>
        <v>4.5</v>
      </c>
      <c r="Q30" s="28">
        <f>IFERROR((inputs!$G$5/100) *'master data '!O29 * inputs!$I$5,0)</f>
        <v>5.88</v>
      </c>
      <c r="R30" s="28">
        <f>IFERROR((inputs!$B$10/100) *'master data '!P29 * inputs!$D$10,0)</f>
        <v>0.8</v>
      </c>
      <c r="S30" s="28">
        <f>IFERROR((inputs!$B$11/100) *'master data '!Q29 * inputs!$D$11,0)</f>
        <v>0.9</v>
      </c>
      <c r="T30" s="28">
        <f>IFERROR((inputs!$B$12/100) *'master data '!R29 * inputs!$D$12,0)</f>
        <v>0.75</v>
      </c>
      <c r="U30" s="28">
        <f>IFERROR((inputs!$B$13/100) *'master data '!S29 * inputs!$D$13,0)</f>
        <v>0.8</v>
      </c>
      <c r="V30" s="28">
        <f>IFERROR((inputs!$B$14/100) *'master data '!T29 * inputs!$D$14,0)</f>
        <v>0.7</v>
      </c>
      <c r="W30" s="28">
        <f>IFERROR((#REF!/100) *'master data '!U29 *#REF!,0)</f>
        <v>0</v>
      </c>
      <c r="X30" s="28">
        <f>IFERROR((#REF!/100) *'master data '!W29 *#REF!,0)</f>
        <v>0</v>
      </c>
      <c r="Y30" s="28">
        <f>IFERROR((#REF!/100) *'master data '!X29 *#REF!,0)</f>
        <v>0</v>
      </c>
      <c r="Z30" s="14">
        <f>IFERROR((#REF!/100) *#REF! *#REF!,0)</f>
        <v>0</v>
      </c>
      <c r="AA30" s="28">
        <f>IFERROR((#REF!/100) *'master data '!Y29 *#REF!,0)</f>
        <v>0</v>
      </c>
      <c r="AB30" s="29">
        <f t="shared" si="3"/>
        <v>40.299999999999997</v>
      </c>
      <c r="AC30" s="10">
        <f t="shared" si="7"/>
        <v>5.7571428571428571</v>
      </c>
      <c r="AD30" s="10">
        <f t="shared" si="8"/>
        <v>3.7571428571428571</v>
      </c>
      <c r="AE30" s="10" t="s">
        <v>30</v>
      </c>
      <c r="AF30" s="11">
        <f t="shared" si="5"/>
        <v>287.85714285714283</v>
      </c>
      <c r="AG30" s="34">
        <f t="shared" si="9"/>
        <v>1.7571428571428571</v>
      </c>
      <c r="AH30" s="8" t="s">
        <v>30</v>
      </c>
      <c r="AI30" s="11">
        <f t="shared" si="10"/>
        <v>143.92857142857142</v>
      </c>
    </row>
    <row r="31" spans="1:35" x14ac:dyDescent="0.3">
      <c r="A31" s="8" t="s">
        <v>58</v>
      </c>
      <c r="B31" s="8" t="s">
        <v>29</v>
      </c>
      <c r="C31" s="8" t="s">
        <v>27</v>
      </c>
      <c r="D31" s="8">
        <v>45</v>
      </c>
      <c r="E31" s="8">
        <v>100</v>
      </c>
      <c r="F31" s="8"/>
      <c r="G31" s="33">
        <f>IFERROR((inputs!$B$5/100) *'master data '!E30 * inputs!$D$5,0)</f>
        <v>0</v>
      </c>
      <c r="H31" s="33">
        <f>IFERROR((inputs!$B$6/100) *'master data '!F30 * inputs!$D$6,0)</f>
        <v>52.5</v>
      </c>
      <c r="I31" s="33">
        <f>IFERROR((inputs!$B$7/100) *'master data '!G30 * inputs!$D$7,0)</f>
        <v>28</v>
      </c>
      <c r="J31" s="33">
        <f>IFERROR((inputs!$G$6/100) *'master data '!H30 * inputs!$I$6,0)</f>
        <v>105</v>
      </c>
      <c r="K31" s="33">
        <f>IFERROR((inputs!$G$7/100) *'master data '!I30 * inputs!$I$7,0)</f>
        <v>7.0000000000000009</v>
      </c>
      <c r="L31" s="28">
        <f>IFERROR((inputs!$G$8/100) *'master data '!J30 * inputs!$I$8,0)</f>
        <v>1.4000000000000001</v>
      </c>
      <c r="M31" s="14">
        <f>IFERROR((inputs!$G$10/100) *'master data '!K30 * inputs!$I$10,0)</f>
        <v>8.8000000000000007</v>
      </c>
      <c r="N31" s="14">
        <f>IFERROR((inputs!$G$11/100) *'master data '!L30 * inputs!$I$11,0)</f>
        <v>40</v>
      </c>
      <c r="O31" s="28">
        <f>IFERROR((inputs!$B$15/100) *'master data '!M30 * inputs!$D$15,0)</f>
        <v>100</v>
      </c>
      <c r="P31" s="28">
        <f>IFERROR((inputs!$B$9/100) *'master data '!N30 * inputs!$D$9,0)</f>
        <v>75</v>
      </c>
      <c r="Q31" s="28">
        <f>IFERROR((inputs!$G$5/100) *'master data '!O30 * inputs!$I$5,0)</f>
        <v>196</v>
      </c>
      <c r="R31" s="28">
        <f>IFERROR((inputs!$B$10/100) *'master data '!P30 * inputs!$D$10,0)</f>
        <v>65</v>
      </c>
      <c r="S31" s="28">
        <f>IFERROR((inputs!$B$11/100) *'master data '!Q30 * inputs!$D$11,0)</f>
        <v>70</v>
      </c>
      <c r="T31" s="28">
        <f>IFERROR((inputs!$B$12/100) *'master data '!R30 * inputs!$D$12,0)</f>
        <v>60</v>
      </c>
      <c r="U31" s="28">
        <f>IFERROR((inputs!$B$13/100) *'master data '!S30 * inputs!$D$13,0)</f>
        <v>70</v>
      </c>
      <c r="V31" s="28">
        <f>IFERROR((inputs!$B$14/100) *'master data '!T30 * inputs!$D$14,0)</f>
        <v>57.5</v>
      </c>
      <c r="W31" s="28">
        <f>IFERROR((#REF!/100) *'master data '!U30 *#REF!,0)</f>
        <v>0</v>
      </c>
      <c r="X31" s="28">
        <f>IFERROR((#REF!/100) *'master data '!W30 *#REF!,0)</f>
        <v>0</v>
      </c>
      <c r="Y31" s="28">
        <f>IFERROR((#REF!/100) *'master data '!X30 *#REF!,0)</f>
        <v>0</v>
      </c>
      <c r="Z31" s="14">
        <f>IFERROR((#REF!/100) *#REF! *#REF!,0)</f>
        <v>0</v>
      </c>
      <c r="AA31" s="28">
        <f>IFERROR((#REF!/100) *'master data '!Y30 *#REF!,0)</f>
        <v>0</v>
      </c>
      <c r="AB31" s="29">
        <f t="shared" si="3"/>
        <v>936.2</v>
      </c>
      <c r="AC31" s="10">
        <f t="shared" si="7"/>
        <v>133.74285714285716</v>
      </c>
      <c r="AD31" s="10">
        <f t="shared" si="8"/>
        <v>88.742857142857162</v>
      </c>
      <c r="AE31" s="10" t="s">
        <v>27</v>
      </c>
      <c r="AF31" s="11">
        <f t="shared" si="5"/>
        <v>297.20634920634927</v>
      </c>
      <c r="AG31" s="34">
        <f t="shared" si="9"/>
        <v>33.742857142857162</v>
      </c>
      <c r="AH31" s="8" t="s">
        <v>27</v>
      </c>
      <c r="AI31" s="11">
        <f t="shared" si="10"/>
        <v>133.74285714285716</v>
      </c>
    </row>
    <row r="32" spans="1:35" x14ac:dyDescent="0.3">
      <c r="A32" s="8" t="s">
        <v>59</v>
      </c>
      <c r="B32" s="8" t="s">
        <v>26</v>
      </c>
      <c r="C32" s="8" t="s">
        <v>30</v>
      </c>
      <c r="D32" s="8">
        <v>3</v>
      </c>
      <c r="E32" s="8">
        <v>4</v>
      </c>
      <c r="F32" s="8"/>
      <c r="G32" s="33">
        <f>IFERROR((inputs!$B$5/100) *'master data '!E31 * inputs!$D$5,0)</f>
        <v>0</v>
      </c>
      <c r="H32" s="33">
        <f>IFERROR((inputs!$B$6/100) *'master data '!F31 * inputs!$D$6,0)</f>
        <v>0.105</v>
      </c>
      <c r="I32" s="33">
        <f>IFERROR((inputs!$B$7/100) *'master data '!G31 * inputs!$D$7,0)</f>
        <v>35</v>
      </c>
      <c r="J32" s="33">
        <f>IFERROR((inputs!$G$6/100) *'master data '!H31 * inputs!$I$6,0)</f>
        <v>0.42</v>
      </c>
      <c r="K32" s="33">
        <f>IFERROR((inputs!$G$7/100) *'master data '!I31 * inputs!$I$7,0)</f>
        <v>0</v>
      </c>
      <c r="L32" s="28">
        <f>IFERROR((inputs!$G$8/100) *'master data '!J31 * inputs!$I$8,0)</f>
        <v>0</v>
      </c>
      <c r="M32" s="14">
        <f>IFERROR((inputs!$G$10/100) *'master data '!K31 * inputs!$I$10,0)</f>
        <v>0</v>
      </c>
      <c r="N32" s="14">
        <f>IFERROR((inputs!$G$11/100) *'master data '!L31 * inputs!$I$11,0)</f>
        <v>0</v>
      </c>
      <c r="O32" s="28">
        <f>IFERROR((inputs!$B$15/100) *'master data '!M31 * inputs!$D$15,0)</f>
        <v>0.75</v>
      </c>
      <c r="P32" s="28">
        <f>IFERROR((inputs!$B$9/100) *'master data '!N31 * inputs!$D$9,0)</f>
        <v>0.5</v>
      </c>
      <c r="Q32" s="28">
        <f>IFERROR((inputs!$G$5/100) *'master data '!O31 * inputs!$I$5,0)</f>
        <v>0</v>
      </c>
      <c r="R32" s="28">
        <f>IFERROR((inputs!$B$10/100) *'master data '!P31 * inputs!$D$10,0)</f>
        <v>20</v>
      </c>
      <c r="S32" s="28">
        <f>IFERROR((inputs!$B$11/100) *'master data '!Q31 * inputs!$D$11,0)</f>
        <v>22.5</v>
      </c>
      <c r="T32" s="28">
        <f>IFERROR((inputs!$B$12/100) *'master data '!R31 * inputs!$D$12,0)</f>
        <v>19</v>
      </c>
      <c r="U32" s="28">
        <f>IFERROR((inputs!$B$13/100) *'master data '!S31 * inputs!$D$13,0)</f>
        <v>21</v>
      </c>
      <c r="V32" s="28">
        <f>IFERROR((inputs!$B$14/100) *'master data '!T31 * inputs!$D$14,0)</f>
        <v>18</v>
      </c>
      <c r="W32" s="28">
        <f>IFERROR((#REF!/100) *'master data '!U31 *#REF!,0)</f>
        <v>0</v>
      </c>
      <c r="X32" s="28">
        <f>IFERROR((#REF!/100) *'master data '!W31 *#REF!,0)</f>
        <v>0</v>
      </c>
      <c r="Y32" s="28">
        <f>IFERROR((#REF!/100) *'master data '!X31 *#REF!,0)</f>
        <v>0</v>
      </c>
      <c r="Z32" s="14">
        <f>IFERROR((#REF!/100) *#REF! *#REF!,0)</f>
        <v>0</v>
      </c>
      <c r="AA32" s="28">
        <f>IFERROR((#REF!/100) *'master data '!Y31 *#REF!,0)</f>
        <v>0</v>
      </c>
      <c r="AB32" s="29">
        <f t="shared" si="3"/>
        <v>137.27500000000001</v>
      </c>
      <c r="AC32" s="10">
        <f t="shared" si="7"/>
        <v>19.610714285714288</v>
      </c>
      <c r="AD32" s="10">
        <f t="shared" si="8"/>
        <v>16.610714285714288</v>
      </c>
      <c r="AE32" s="10" t="s">
        <v>30</v>
      </c>
      <c r="AF32" s="11">
        <f t="shared" si="5"/>
        <v>653.69047619047626</v>
      </c>
      <c r="AG32" s="34">
        <f t="shared" si="9"/>
        <v>15.610714285714288</v>
      </c>
      <c r="AH32" s="8" t="s">
        <v>30</v>
      </c>
      <c r="AI32" s="11">
        <f t="shared" si="10"/>
        <v>490.26785714285717</v>
      </c>
    </row>
    <row r="33" spans="1:35" x14ac:dyDescent="0.3">
      <c r="A33" s="8" t="s">
        <v>60</v>
      </c>
      <c r="B33" s="8" t="s">
        <v>29</v>
      </c>
      <c r="C33" s="8" t="s">
        <v>30</v>
      </c>
      <c r="D33" s="8">
        <v>1</v>
      </c>
      <c r="E33" s="8">
        <v>2</v>
      </c>
      <c r="F33" s="8"/>
      <c r="G33" s="33">
        <f>IFERROR((inputs!$B$5/100) *'master data '!E32 * inputs!$D$5,0)</f>
        <v>0</v>
      </c>
      <c r="H33" s="33">
        <f>IFERROR((inputs!$B$6/100) *'master data '!F32 * inputs!$D$6,0)</f>
        <v>2.1000000000000005</v>
      </c>
      <c r="I33" s="33">
        <f>IFERROR((inputs!$B$7/100) *'master data '!G32 * inputs!$D$7,0)</f>
        <v>0.14000000000000001</v>
      </c>
      <c r="J33" s="33">
        <f>IFERROR((inputs!$G$6/100) *'master data '!H32 * inputs!$I$6,0)</f>
        <v>1.8900000000000001</v>
      </c>
      <c r="K33" s="33">
        <f>IFERROR((inputs!$G$7/100) *'master data '!I32 * inputs!$I$7,0)</f>
        <v>0</v>
      </c>
      <c r="L33" s="28">
        <f>IFERROR((inputs!$G$8/100) *'master data '!J32 * inputs!$I$8,0)</f>
        <v>0</v>
      </c>
      <c r="M33" s="14">
        <f>IFERROR((inputs!$G$10/100) *'master data '!K32 * inputs!$I$10,0)</f>
        <v>0</v>
      </c>
      <c r="N33" s="14">
        <f>IFERROR((inputs!$G$11/100) *'master data '!L32 * inputs!$I$11,0)</f>
        <v>0</v>
      </c>
      <c r="O33" s="28">
        <f>IFERROR((inputs!$B$15/100) *'master data '!M32 * inputs!$D$15,0)</f>
        <v>1.25</v>
      </c>
      <c r="P33" s="28">
        <f>IFERROR((inputs!$B$9/100) *'master data '!N32 * inputs!$D$9,0)</f>
        <v>1</v>
      </c>
      <c r="Q33" s="28">
        <f>IFERROR((inputs!$G$5/100) *'master data '!O32 * inputs!$I$5,0)</f>
        <v>0.48999999999999994</v>
      </c>
      <c r="R33" s="28">
        <f>IFERROR((inputs!$B$10/100) *'master data '!P32 * inputs!$D$10,0)</f>
        <v>0.4</v>
      </c>
      <c r="S33" s="28">
        <f>IFERROR((inputs!$B$11/100) *'master data '!Q32 * inputs!$D$11,0)</f>
        <v>0.45</v>
      </c>
      <c r="T33" s="28">
        <f>IFERROR((inputs!$B$12/100) *'master data '!R32 * inputs!$D$12,0)</f>
        <v>0.35</v>
      </c>
      <c r="U33" s="28">
        <f>IFERROR((inputs!$B$13/100) *'master data '!S32 * inputs!$D$13,0)</f>
        <v>0.4</v>
      </c>
      <c r="V33" s="28">
        <f>IFERROR((inputs!$B$14/100) *'master data '!T32 * inputs!$D$14,0)</f>
        <v>0.3</v>
      </c>
      <c r="W33" s="28">
        <f>IFERROR((#REF!/100) *'master data '!U32 *#REF!,0)</f>
        <v>0</v>
      </c>
      <c r="X33" s="28">
        <f>IFERROR((#REF!/100) *'master data '!W32 *#REF!,0)</f>
        <v>0</v>
      </c>
      <c r="Y33" s="28">
        <f>IFERROR((#REF!/100) *'master data '!X32 *#REF!,0)</f>
        <v>0</v>
      </c>
      <c r="Z33" s="14">
        <f>IFERROR((#REF!/100) *#REF! *#REF!,0)</f>
        <v>0</v>
      </c>
      <c r="AA33" s="28">
        <f>IFERROR((#REF!/100) *'master data '!Y32 *#REF!,0)</f>
        <v>0</v>
      </c>
      <c r="AB33" s="29">
        <f t="shared" si="3"/>
        <v>8.7700000000000031</v>
      </c>
      <c r="AC33" s="10">
        <f t="shared" si="7"/>
        <v>1.2528571428571433</v>
      </c>
      <c r="AD33" s="10">
        <f t="shared" si="8"/>
        <v>0.25285714285714334</v>
      </c>
      <c r="AE33" s="10" t="s">
        <v>30</v>
      </c>
      <c r="AF33" s="11">
        <f t="shared" si="5"/>
        <v>125.28571428571433</v>
      </c>
      <c r="AG33" s="34">
        <f t="shared" si="9"/>
        <v>-0.74714285714285666</v>
      </c>
      <c r="AH33" s="8" t="s">
        <v>30</v>
      </c>
      <c r="AI33" s="11">
        <f t="shared" si="10"/>
        <v>62.642857142857167</v>
      </c>
    </row>
    <row r="34" spans="1:35" x14ac:dyDescent="0.3">
      <c r="A34" s="8" t="s">
        <v>61</v>
      </c>
      <c r="B34" s="8" t="s">
        <v>29</v>
      </c>
      <c r="C34" s="8" t="s">
        <v>30</v>
      </c>
      <c r="D34" s="8">
        <v>10</v>
      </c>
      <c r="E34" s="8">
        <v>20</v>
      </c>
      <c r="F34" s="8"/>
      <c r="G34" s="33">
        <f>IFERROR((inputs!$B$5/100) *'master data '!E33 * inputs!$D$5,0)</f>
        <v>0</v>
      </c>
      <c r="H34" s="33">
        <f>IFERROR((inputs!$B$6/100) *'master data '!F33 * inputs!$D$6,0)</f>
        <v>3.1499999999999995</v>
      </c>
      <c r="I34" s="33">
        <f>IFERROR((inputs!$B$7/100) *'master data '!G33 * inputs!$D$7,0)</f>
        <v>1.4000000000000001</v>
      </c>
      <c r="J34" s="33">
        <f>IFERROR((inputs!$G$6/100) *'master data '!H33 * inputs!$I$6,0)</f>
        <v>12.599999999999998</v>
      </c>
      <c r="K34" s="33">
        <f>IFERROR((inputs!$G$7/100) *'master data '!I33 * inputs!$I$7,0)</f>
        <v>0</v>
      </c>
      <c r="L34" s="28">
        <f>IFERROR((inputs!$G$8/100) *'master data '!J33 * inputs!$I$8,0)</f>
        <v>0</v>
      </c>
      <c r="M34" s="14">
        <f>IFERROR((inputs!$G$10/100) *'master data '!K33 * inputs!$I$10,0)</f>
        <v>0</v>
      </c>
      <c r="N34" s="14">
        <f>IFERROR((inputs!$G$11/100) *'master data '!L33 * inputs!$I$11,0)</f>
        <v>0</v>
      </c>
      <c r="O34" s="28">
        <f>IFERROR((inputs!$B$15/100) *'master data '!M33 * inputs!$D$15,0)</f>
        <v>10</v>
      </c>
      <c r="P34" s="28">
        <f>IFERROR((inputs!$B$9/100) *'master data '!N33 * inputs!$D$9,0)</f>
        <v>5</v>
      </c>
      <c r="Q34" s="28">
        <f>IFERROR((inputs!$G$5/100) *'master data '!O33 * inputs!$I$5,0)</f>
        <v>24.5</v>
      </c>
      <c r="R34" s="28">
        <f>IFERROR((inputs!$B$10/100) *'master data '!P33 * inputs!$D$10,0)</f>
        <v>3.5</v>
      </c>
      <c r="S34" s="28">
        <f>IFERROR((inputs!$B$11/100) *'master data '!Q33 * inputs!$D$11,0)</f>
        <v>4</v>
      </c>
      <c r="T34" s="28">
        <f>IFERROR((inputs!$B$12/100) *'master data '!R33 * inputs!$D$12,0)</f>
        <v>3</v>
      </c>
      <c r="U34" s="28">
        <f>IFERROR((inputs!$B$13/100) *'master data '!S33 * inputs!$D$13,0)</f>
        <v>3.5</v>
      </c>
      <c r="V34" s="28">
        <f>IFERROR((inputs!$B$14/100) *'master data '!T33 * inputs!$D$14,0)</f>
        <v>3</v>
      </c>
      <c r="W34" s="28">
        <f>IFERROR((#REF!/100) *'master data '!U33 *#REF!,0)</f>
        <v>0</v>
      </c>
      <c r="X34" s="28">
        <f>IFERROR((#REF!/100) *'master data '!W33 *#REF!,0)</f>
        <v>0</v>
      </c>
      <c r="Y34" s="28">
        <f>IFERROR((#REF!/100) *'master data '!X33 *#REF!,0)</f>
        <v>0</v>
      </c>
      <c r="Z34" s="14">
        <f>IFERROR((#REF!/100) *#REF! *#REF!,0)</f>
        <v>0</v>
      </c>
      <c r="AA34" s="28">
        <f>IFERROR((#REF!/100) *'master data '!Y33 *#REF!,0)</f>
        <v>0</v>
      </c>
      <c r="AB34" s="29">
        <f t="shared" si="3"/>
        <v>73.650000000000006</v>
      </c>
      <c r="AC34" s="10">
        <f t="shared" si="7"/>
        <v>10.521428571428572</v>
      </c>
      <c r="AD34" s="10">
        <f t="shared" si="8"/>
        <v>0.52142857142857224</v>
      </c>
      <c r="AE34" s="10" t="s">
        <v>30</v>
      </c>
      <c r="AF34" s="11">
        <f t="shared" si="5"/>
        <v>105.21428571428572</v>
      </c>
      <c r="AG34" s="34">
        <f t="shared" si="9"/>
        <v>-9.4785714285714278</v>
      </c>
      <c r="AH34" s="8" t="s">
        <v>30</v>
      </c>
      <c r="AI34" s="11">
        <f t="shared" si="10"/>
        <v>52.607142857142861</v>
      </c>
    </row>
    <row r="35" spans="1:35" s="17" customFormat="1" x14ac:dyDescent="0.3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</row>
    <row r="36" spans="1:35" ht="21" x14ac:dyDescent="0.4">
      <c r="A36" s="18" t="s">
        <v>63</v>
      </c>
      <c r="B36" s="13" t="s">
        <v>64</v>
      </c>
      <c r="C36" s="8" t="s">
        <v>63</v>
      </c>
      <c r="D36" s="8">
        <v>1500</v>
      </c>
      <c r="E36" s="8">
        <v>1800</v>
      </c>
      <c r="F36" s="8"/>
      <c r="G36" s="33">
        <f>IFERROR((inputs!$B$5/100) *'master data '!E35 * inputs!$D$5,0)</f>
        <v>369</v>
      </c>
      <c r="H36" s="33">
        <f>IFERROR((inputs!$B$6/100) *'master data '!F35 * inputs!$D$6,0)</f>
        <v>703.5</v>
      </c>
      <c r="I36" s="33">
        <f>IFERROR((inputs!$B$7/100) *'master data '!G35 * inputs!$D$7,0)</f>
        <v>504</v>
      </c>
      <c r="J36" s="33">
        <f>IFERROR((inputs!$G$6/100) *'master data '!H35 * inputs!$I$6,0)</f>
        <v>816.89999999999986</v>
      </c>
      <c r="K36" s="33">
        <f>IFERROR((inputs!$G$7/100) *'master data '!I35 * inputs!$I$7,0)</f>
        <v>1701.0000000000002</v>
      </c>
      <c r="L36" s="28">
        <f>IFERROR((inputs!$G$8/100) *'master data '!J35 * inputs!$I$8,0)</f>
        <v>373.80000000000007</v>
      </c>
      <c r="M36" s="14">
        <f>IFERROR((inputs!$G$10/100) *'master data '!K35 * inputs!$I$10,0)</f>
        <v>629.20000000000005</v>
      </c>
      <c r="N36" s="14">
        <f>IFERROR((inputs!$G$11/100) *'master data '!L35 * inputs!$I$11,0)</f>
        <v>960</v>
      </c>
      <c r="O36" s="28">
        <f>IFERROR((inputs!$B$15/100) *'master data '!M35 * inputs!$D$15,0)</f>
        <v>862.5</v>
      </c>
      <c r="P36" s="28">
        <f>IFERROR((inputs!$B$9/100) *'master data '!N35 * inputs!$D$9,0)</f>
        <v>900</v>
      </c>
      <c r="Q36" s="28">
        <f>IFERROR((inputs!$G$5/100) *'master data '!O35 * inputs!$I$5,0)</f>
        <v>1763.9999999999998</v>
      </c>
      <c r="R36" s="28">
        <f>IFERROR((inputs!$B$10/100) *'master data '!P35 * inputs!$D$10,0)</f>
        <v>174</v>
      </c>
      <c r="S36" s="28">
        <f>IFERROR((inputs!$B$11/100) *'master data '!Q35 * inputs!$D$11,0)</f>
        <v>173.5</v>
      </c>
      <c r="T36" s="28">
        <f>IFERROR((inputs!$B$12/100) *'master data '!R35 * inputs!$D$12,0)</f>
        <v>176</v>
      </c>
      <c r="U36" s="28">
        <f>IFERROR((inputs!$B$13/100) *'master data '!S35 * inputs!$D$13,0)</f>
        <v>166.5</v>
      </c>
      <c r="V36" s="28">
        <f>IFERROR((inputs!$B$14/100) *'master data '!T35 * inputs!$D$14,0)</f>
        <v>182</v>
      </c>
      <c r="W36" s="28">
        <f>IFERROR((#REF!/100) *'master data '!U35 *#REF!,0)</f>
        <v>0</v>
      </c>
      <c r="X36" s="28">
        <f>IFERROR((#REF!/100) *'master data '!W35 *#REF!,0)</f>
        <v>0</v>
      </c>
      <c r="Y36" s="28">
        <f>IFERROR((#REF!/100) *'master data '!X35 *#REF!,0)</f>
        <v>0</v>
      </c>
      <c r="Z36" s="28">
        <f>IFERROR((#REF!/100) *'master data '!V35 *#REF!,0)</f>
        <v>0</v>
      </c>
      <c r="AA36" s="28">
        <f>IFERROR((#REF!/100) *'master data '!Y35 *#REF!,0)</f>
        <v>0</v>
      </c>
      <c r="AB36" s="29">
        <f t="shared" si="3"/>
        <v>10455.9</v>
      </c>
      <c r="AC36" s="9">
        <f t="shared" si="7"/>
        <v>1493.7</v>
      </c>
      <c r="AD36" s="10">
        <f t="shared" ref="AD36:AD71" si="11">AC36 -D36</f>
        <v>-6.2999999999999545</v>
      </c>
      <c r="AE36" s="10" t="s">
        <v>65</v>
      </c>
      <c r="AF36" s="11">
        <f t="shared" si="5"/>
        <v>99.58</v>
      </c>
      <c r="AG36" s="34">
        <f t="shared" ref="AG36:AG71" si="12">AC36 -E36</f>
        <v>-306.29999999999995</v>
      </c>
      <c r="AH36" s="8" t="s">
        <v>65</v>
      </c>
      <c r="AI36" s="11">
        <f t="shared" ref="AI36:AI71" si="13">AC36 /E36*100</f>
        <v>82.983333333333334</v>
      </c>
    </row>
    <row r="37" spans="1:35" ht="21" x14ac:dyDescent="0.4">
      <c r="A37" s="18" t="s">
        <v>66</v>
      </c>
      <c r="B37" s="13" t="s">
        <v>64</v>
      </c>
      <c r="C37" s="8" t="s">
        <v>65</v>
      </c>
      <c r="D37" s="13">
        <v>130</v>
      </c>
      <c r="E37" s="13">
        <v>150</v>
      </c>
      <c r="F37" s="13"/>
      <c r="G37" s="33">
        <f>IFERROR((inputs!$B$5/100) *'master data '!E36 * inputs!$D$5,0)</f>
        <v>32.44</v>
      </c>
      <c r="H37" s="33">
        <f>IFERROR((inputs!$B$6/100) *'master data '!F36 * inputs!$D$6,0)</f>
        <v>50.399999999999991</v>
      </c>
      <c r="I37" s="33">
        <f>IFERROR((inputs!$B$7/100) *'master data '!G36 * inputs!$D$7,0)</f>
        <v>72.8</v>
      </c>
      <c r="J37" s="33">
        <f>IFERROR((inputs!$G$6/100) *'master data '!H36 * inputs!$I$6,0)</f>
        <v>138.6</v>
      </c>
      <c r="K37" s="33">
        <f>IFERROR((inputs!$G$7/100) *'master data '!I36 * inputs!$I$7,0)</f>
        <v>147.00000000000003</v>
      </c>
      <c r="L37" s="28">
        <f>IFERROR((inputs!$G$8/100) *'master data '!J36 * inputs!$I$8,0)</f>
        <v>20.300000000000004</v>
      </c>
      <c r="M37" s="14">
        <f>IFERROR((inputs!$G$10/100) *'master data '!K36 * inputs!$I$10,0)</f>
        <v>3.08</v>
      </c>
      <c r="N37" s="14">
        <f>IFERROR((inputs!$G$11/100) *'master data '!L36 * inputs!$I$11,0)</f>
        <v>0</v>
      </c>
      <c r="O37" s="28">
        <f>IFERROR((inputs!$B$15/100) *'master data '!M36 * inputs!$D$15,0)</f>
        <v>82.5</v>
      </c>
      <c r="P37" s="28">
        <f>IFERROR((inputs!$B$9/100) *'master data '!N36 * inputs!$D$9,0)</f>
        <v>150</v>
      </c>
      <c r="Q37" s="28">
        <f>IFERROR((inputs!$G$5/100) *'master data '!O36 * inputs!$I$5,0)</f>
        <v>382.19999999999993</v>
      </c>
      <c r="R37" s="28">
        <f>IFERROR((inputs!$B$10/100) *'master data '!P36 * inputs!$D$10,0)</f>
        <v>29.5</v>
      </c>
      <c r="S37" s="28">
        <f>IFERROR((inputs!$B$11/100) *'master data '!Q36 * inputs!$D$11,0)</f>
        <v>29.5</v>
      </c>
      <c r="T37" s="28">
        <f>IFERROR((inputs!$B$12/100) *'master data '!R36 * inputs!$D$12,0)</f>
        <v>30</v>
      </c>
      <c r="U37" s="28">
        <f>IFERROR((inputs!$B$13/100) *'master data '!S36 * inputs!$D$13,0)</f>
        <v>30.5</v>
      </c>
      <c r="V37" s="28">
        <f>IFERROR((inputs!$B$14/100) *'master data '!T36 * inputs!$D$14,0)</f>
        <v>30.5</v>
      </c>
      <c r="W37" s="28">
        <f>IFERROR((#REF!/100) *'master data '!U36 *#REF!,0)</f>
        <v>0</v>
      </c>
      <c r="X37" s="28">
        <f>IFERROR((#REF!/100) *'master data '!W36 *#REF!,0)</f>
        <v>0</v>
      </c>
      <c r="Y37" s="28">
        <f>IFERROR((#REF!/100) *'master data '!X36 *#REF!,0)</f>
        <v>0</v>
      </c>
      <c r="Z37" s="28">
        <f>IFERROR((#REF!/100) *'master data '!V36 *#REF!,0)</f>
        <v>0</v>
      </c>
      <c r="AA37" s="28">
        <f>IFERROR((#REF!/100) *'master data '!Y36 *#REF!,0)</f>
        <v>0</v>
      </c>
      <c r="AB37" s="29">
        <f t="shared" si="3"/>
        <v>1229.32</v>
      </c>
      <c r="AC37" s="9">
        <f t="shared" si="7"/>
        <v>175.61714285714285</v>
      </c>
      <c r="AD37" s="10">
        <f t="shared" si="11"/>
        <v>45.617142857142852</v>
      </c>
      <c r="AE37" s="10" t="s">
        <v>65</v>
      </c>
      <c r="AF37" s="11">
        <f t="shared" si="5"/>
        <v>135.09010989010989</v>
      </c>
      <c r="AG37" s="34">
        <f t="shared" si="12"/>
        <v>25.617142857142852</v>
      </c>
      <c r="AH37" s="8" t="s">
        <v>65</v>
      </c>
      <c r="AI37" s="11">
        <f t="shared" si="13"/>
        <v>117.07809523809523</v>
      </c>
    </row>
    <row r="38" spans="1:35" outlineLevel="1" x14ac:dyDescent="0.3">
      <c r="A38" s="13" t="s">
        <v>67</v>
      </c>
      <c r="B38" s="13" t="s">
        <v>68</v>
      </c>
      <c r="C38" s="8" t="s">
        <v>65</v>
      </c>
      <c r="D38" s="13">
        <v>0</v>
      </c>
      <c r="E38" s="13">
        <v>30</v>
      </c>
      <c r="F38" s="13"/>
      <c r="G38" s="33">
        <f>IFERROR((inputs!$B$5/100) *'master data '!E37 * inputs!$D$5,0)</f>
        <v>3.5</v>
      </c>
      <c r="H38" s="33">
        <f>IFERROR((inputs!$B$6/100) *'master data '!F37 * inputs!$D$6,0)</f>
        <v>1.0500000000000003</v>
      </c>
      <c r="I38" s="33">
        <f>IFERROR((inputs!$B$7/100) *'master data '!G37 * inputs!$D$7,0)</f>
        <v>0</v>
      </c>
      <c r="J38" s="33">
        <f>IFERROR((inputs!$G$6/100) *'master data '!H37 * inputs!$I$6,0)</f>
        <v>0.42</v>
      </c>
      <c r="K38" s="33">
        <f>IFERROR((inputs!$G$7/100) *'master data '!I37 * inputs!$I$7,0)</f>
        <v>1.7500000000000002</v>
      </c>
      <c r="L38" s="28">
        <f>IFERROR((inputs!$G$8/100) *'master data '!J37 * inputs!$I$8,0)</f>
        <v>0.35000000000000003</v>
      </c>
      <c r="M38" s="14">
        <f>IFERROR((inputs!$G$10/100) *'master data '!K37 * inputs!$I$10,0)</f>
        <v>1.32</v>
      </c>
      <c r="N38" s="14">
        <f>IFERROR((inputs!$G$11/100) *'master data '!L37 * inputs!$I$11,0)</f>
        <v>0</v>
      </c>
      <c r="O38" s="28">
        <f>IFERROR((inputs!$B$15/100) *'master data '!M37 * inputs!$D$15,0)</f>
        <v>0.5</v>
      </c>
      <c r="P38" s="28">
        <f>IFERROR((inputs!$B$9/100) *'master data '!N37 * inputs!$D$9,0)</f>
        <v>1</v>
      </c>
      <c r="Q38" s="28">
        <f>IFERROR((inputs!$G$5/100) *'master data '!O37 * inputs!$I$5,0)</f>
        <v>0.48999999999999994</v>
      </c>
      <c r="R38" s="28">
        <f>IFERROR((inputs!$B$10/100) *'master data '!P37 * inputs!$D$10,0)</f>
        <v>0.3</v>
      </c>
      <c r="S38" s="28">
        <f>IFERROR((inputs!$B$11/100) *'master data '!Q37 * inputs!$D$11,0)</f>
        <v>0.35</v>
      </c>
      <c r="T38" s="28">
        <f>IFERROR((inputs!$B$12/100) *'master data '!R37 * inputs!$D$12,0)</f>
        <v>0.4</v>
      </c>
      <c r="U38" s="28">
        <f>IFERROR((inputs!$B$13/100) *'master data '!S37 * inputs!$D$13,0)</f>
        <v>0.45</v>
      </c>
      <c r="V38" s="28">
        <f>IFERROR((inputs!$B$14/100) *'master data '!T37 * inputs!$D$14,0)</f>
        <v>0.35</v>
      </c>
      <c r="W38" s="28">
        <f>IFERROR((#REF!/100) *'master data '!U37 *#REF!,0)</f>
        <v>0</v>
      </c>
      <c r="X38" s="28">
        <f>IFERROR((#REF!/100) *'master data '!W37 *#REF!,0)</f>
        <v>0</v>
      </c>
      <c r="Y38" s="28">
        <f>IFERROR((#REF!/100) *'master data '!X37 *#REF!,0)</f>
        <v>0</v>
      </c>
      <c r="Z38" s="28">
        <f>IFERROR((#REF!/100) *'master data '!V37 *#REF!,0)</f>
        <v>0</v>
      </c>
      <c r="AA38" s="28">
        <f>IFERROR((#REF!/100) *'master data '!Y37 *#REF!,0)</f>
        <v>0</v>
      </c>
      <c r="AB38" s="29">
        <f t="shared" si="3"/>
        <v>12.23</v>
      </c>
      <c r="AC38" s="9">
        <f t="shared" si="7"/>
        <v>1.7471428571428571</v>
      </c>
      <c r="AD38" s="10">
        <f t="shared" si="11"/>
        <v>1.7471428571428571</v>
      </c>
      <c r="AE38" s="10" t="s">
        <v>65</v>
      </c>
      <c r="AF38" s="11" t="str">
        <f t="shared" si="5"/>
        <v>N/A</v>
      </c>
      <c r="AG38" s="34">
        <f t="shared" si="12"/>
        <v>-28.252857142857142</v>
      </c>
      <c r="AH38" s="8"/>
      <c r="AI38" s="11">
        <f t="shared" si="13"/>
        <v>5.8238095238095235</v>
      </c>
    </row>
    <row r="39" spans="1:35" outlineLevel="1" x14ac:dyDescent="0.3">
      <c r="A39" s="13" t="s">
        <v>69</v>
      </c>
      <c r="B39" s="13" t="s">
        <v>68</v>
      </c>
      <c r="C39" s="8" t="s">
        <v>65</v>
      </c>
      <c r="D39" s="13">
        <v>0</v>
      </c>
      <c r="E39" s="13">
        <v>25</v>
      </c>
      <c r="F39" s="13"/>
      <c r="G39" s="33">
        <f>IFERROR((inputs!$B$5/100) *'master data '!E38 * inputs!$D$5,0)</f>
        <v>2.8</v>
      </c>
      <c r="H39" s="33">
        <f>IFERROR((inputs!$B$6/100) *'master data '!F38 * inputs!$D$6,0)</f>
        <v>0</v>
      </c>
      <c r="I39" s="33">
        <f>IFERROR((inputs!$B$7/100) *'master data '!G38 * inputs!$D$7,0)</f>
        <v>0</v>
      </c>
      <c r="J39" s="33">
        <f>IFERROR((inputs!$G$6/100) *'master data '!H38 * inputs!$I$6,0)</f>
        <v>0.63</v>
      </c>
      <c r="K39" s="33">
        <f>IFERROR((inputs!$G$7/100) *'master data '!I38 * inputs!$I$7,0)</f>
        <v>1.7500000000000002</v>
      </c>
      <c r="L39" s="28">
        <f>IFERROR((inputs!$G$8/100) *'master data '!J38 * inputs!$I$8,0)</f>
        <v>0.35000000000000003</v>
      </c>
      <c r="M39" s="14">
        <f>IFERROR((inputs!$G$10/100) *'master data '!K38 * inputs!$I$10,0)</f>
        <v>1.32</v>
      </c>
      <c r="N39" s="14">
        <f>IFERROR((inputs!$G$11/100) *'master data '!L38 * inputs!$I$11,0)</f>
        <v>0</v>
      </c>
      <c r="O39" s="28">
        <f>IFERROR((inputs!$B$15/100) *'master data '!M38 * inputs!$D$15,0)</f>
        <v>0.5</v>
      </c>
      <c r="P39" s="28">
        <f>IFERROR((inputs!$B$9/100) *'master data '!N38 * inputs!$D$9,0)</f>
        <v>0.75</v>
      </c>
      <c r="Q39" s="28">
        <f>IFERROR((inputs!$G$5/100) *'master data '!O38 * inputs!$I$5,0)</f>
        <v>0</v>
      </c>
      <c r="R39" s="28">
        <f>IFERROR((inputs!$B$10/100) *'master data '!P38 * inputs!$D$10,0)</f>
        <v>0.2</v>
      </c>
      <c r="S39" s="28">
        <f>IFERROR((inputs!$B$11/100) *'master data '!Q38 * inputs!$D$11,0)</f>
        <v>0.25</v>
      </c>
      <c r="T39" s="28">
        <f>IFERROR((inputs!$B$12/100) *'master data '!R38 * inputs!$D$12,0)</f>
        <v>0.25</v>
      </c>
      <c r="U39" s="28">
        <f>IFERROR((inputs!$B$13/100) *'master data '!S38 * inputs!$D$13,0)</f>
        <v>0.3</v>
      </c>
      <c r="V39" s="28">
        <f>IFERROR((inputs!$B$14/100) *'master data '!T38 * inputs!$D$14,0)</f>
        <v>0.2</v>
      </c>
      <c r="W39" s="28">
        <f>IFERROR((#REF!/100) *'master data '!U38 *#REF!,0)</f>
        <v>0</v>
      </c>
      <c r="X39" s="28">
        <f>IFERROR((#REF!/100) *'master data '!W38 *#REF!,0)</f>
        <v>0</v>
      </c>
      <c r="Y39" s="28">
        <f>IFERROR((#REF!/100) *'master data '!X38 *#REF!,0)</f>
        <v>0</v>
      </c>
      <c r="Z39" s="28">
        <f>IFERROR((#REF!/100) *'master data '!V38 *#REF!,0)</f>
        <v>0</v>
      </c>
      <c r="AA39" s="28">
        <f>IFERROR((#REF!/100) *'master data '!Y38 *#REF!,0)</f>
        <v>0</v>
      </c>
      <c r="AB39" s="29">
        <f t="shared" si="3"/>
        <v>9.2999999999999989</v>
      </c>
      <c r="AC39" s="9">
        <f t="shared" si="7"/>
        <v>1.3285714285714285</v>
      </c>
      <c r="AD39" s="10">
        <f t="shared" si="11"/>
        <v>1.3285714285714285</v>
      </c>
      <c r="AE39" s="10" t="s">
        <v>65</v>
      </c>
      <c r="AF39" s="11" t="str">
        <f t="shared" si="5"/>
        <v>N/A</v>
      </c>
      <c r="AG39" s="34">
        <f t="shared" si="12"/>
        <v>-23.671428571428571</v>
      </c>
      <c r="AH39" s="8"/>
      <c r="AI39" s="11">
        <f t="shared" si="13"/>
        <v>5.3142857142857141</v>
      </c>
    </row>
    <row r="40" spans="1:35" outlineLevel="1" x14ac:dyDescent="0.3">
      <c r="A40" s="13" t="s">
        <v>70</v>
      </c>
      <c r="B40" s="13" t="s">
        <v>68</v>
      </c>
      <c r="C40" s="8" t="s">
        <v>65</v>
      </c>
      <c r="D40" s="13">
        <v>0</v>
      </c>
      <c r="E40" s="13">
        <v>15</v>
      </c>
      <c r="F40" s="13"/>
      <c r="G40" s="33">
        <f>IFERROR((inputs!$B$5/100) *'master data '!E39 * inputs!$D$5,0)</f>
        <v>6</v>
      </c>
      <c r="H40" s="33">
        <f>IFERROR((inputs!$B$6/100) *'master data '!F39 * inputs!$D$6,0)</f>
        <v>0</v>
      </c>
      <c r="I40" s="33">
        <f>IFERROR((inputs!$B$7/100) *'master data '!G39 * inputs!$D$7,0)</f>
        <v>0</v>
      </c>
      <c r="J40" s="33">
        <f>IFERROR((inputs!$G$6/100) *'master data '!H39 * inputs!$I$6,0)</f>
        <v>1.05</v>
      </c>
      <c r="K40" s="33">
        <f>IFERROR((inputs!$G$7/100) *'master data '!I39 * inputs!$I$7,0)</f>
        <v>1.7500000000000002</v>
      </c>
      <c r="L40" s="28">
        <f>IFERROR((inputs!$G$8/100) *'master data '!J39 * inputs!$I$8,0)</f>
        <v>0.35000000000000003</v>
      </c>
      <c r="M40" s="14">
        <f>IFERROR((inputs!$G$10/100) *'master data '!K39 * inputs!$I$10,0)</f>
        <v>1.32</v>
      </c>
      <c r="N40" s="14">
        <f>IFERROR((inputs!$G$11/100) *'master data '!L39 * inputs!$I$11,0)</f>
        <v>0</v>
      </c>
      <c r="O40" s="28">
        <f>IFERROR((inputs!$B$15/100) *'master data '!M39 * inputs!$D$15,0)</f>
        <v>0.25</v>
      </c>
      <c r="P40" s="28">
        <f>IFERROR((inputs!$B$9/100) *'master data '!N39 * inputs!$D$9,0)</f>
        <v>0.5</v>
      </c>
      <c r="Q40" s="28">
        <f>IFERROR((inputs!$G$5/100) *'master data '!O39 * inputs!$I$5,0)</f>
        <v>0.48999999999999994</v>
      </c>
      <c r="R40" s="28">
        <f>IFERROR((inputs!$B$10/100) *'master data '!P39 * inputs!$D$10,0)</f>
        <v>0.55000000000000004</v>
      </c>
      <c r="S40" s="28">
        <f>IFERROR((inputs!$B$11/100) *'master data '!Q39 * inputs!$D$11,0)</f>
        <v>0.65</v>
      </c>
      <c r="T40" s="28">
        <f>IFERROR((inputs!$B$12/100) *'master data '!R39 * inputs!$D$12,0)</f>
        <v>0.6</v>
      </c>
      <c r="U40" s="28">
        <f>IFERROR((inputs!$B$13/100) *'master data '!S39 * inputs!$D$13,0)</f>
        <v>0.75</v>
      </c>
      <c r="V40" s="28">
        <f>IFERROR((inputs!$B$14/100) *'master data '!T39 * inputs!$D$14,0)</f>
        <v>0.55000000000000004</v>
      </c>
      <c r="W40" s="28">
        <f>IFERROR((#REF!/100) *'master data '!U39 *#REF!,0)</f>
        <v>0</v>
      </c>
      <c r="X40" s="28">
        <f>IFERROR((#REF!/100) *'master data '!W39 *#REF!,0)</f>
        <v>0</v>
      </c>
      <c r="Y40" s="28">
        <f>IFERROR((#REF!/100) *'master data '!X39 *#REF!,0)</f>
        <v>0</v>
      </c>
      <c r="Z40" s="28">
        <f>IFERROR((#REF!/100) *'master data '!V39 *#REF!,0)</f>
        <v>0</v>
      </c>
      <c r="AA40" s="28">
        <f>IFERROR((#REF!/100) *'master data '!Y39 *#REF!,0)</f>
        <v>0</v>
      </c>
      <c r="AB40" s="29">
        <f t="shared" si="3"/>
        <v>14.810000000000002</v>
      </c>
      <c r="AC40" s="9">
        <f t="shared" si="7"/>
        <v>2.1157142857142861</v>
      </c>
      <c r="AD40" s="10">
        <f t="shared" si="11"/>
        <v>2.1157142857142861</v>
      </c>
      <c r="AE40" s="10" t="s">
        <v>65</v>
      </c>
      <c r="AF40" s="11" t="str">
        <f t="shared" si="5"/>
        <v>N/A</v>
      </c>
      <c r="AG40" s="34">
        <f t="shared" si="12"/>
        <v>-12.884285714285713</v>
      </c>
      <c r="AH40" s="8"/>
      <c r="AI40" s="11">
        <f t="shared" si="13"/>
        <v>14.104761904761906</v>
      </c>
    </row>
    <row r="41" spans="1:35" outlineLevel="1" x14ac:dyDescent="0.3">
      <c r="A41" s="13" t="s">
        <v>71</v>
      </c>
      <c r="B41" s="13" t="s">
        <v>68</v>
      </c>
      <c r="C41" s="8" t="s">
        <v>65</v>
      </c>
      <c r="D41" s="13">
        <v>0</v>
      </c>
      <c r="E41" s="13">
        <v>10</v>
      </c>
      <c r="F41" s="13"/>
      <c r="G41" s="33">
        <f>IFERROR((inputs!$B$5/100) *'master data '!E40 * inputs!$D$5,0)</f>
        <v>18</v>
      </c>
      <c r="H41" s="33">
        <f>IFERROR((inputs!$B$6/100) *'master data '!F40 * inputs!$D$6,0)</f>
        <v>50.399999999999991</v>
      </c>
      <c r="I41" s="33">
        <f>IFERROR((inputs!$B$7/100) *'master data '!G40 * inputs!$D$7,0)</f>
        <v>72.8</v>
      </c>
      <c r="J41" s="33">
        <f>IFERROR((inputs!$G$6/100) *'master data '!H40 * inputs!$I$6,0)</f>
        <v>0</v>
      </c>
      <c r="K41" s="33">
        <f>IFERROR((inputs!$G$7/100) *'master data '!I40 * inputs!$I$7,0)</f>
        <v>0</v>
      </c>
      <c r="L41" s="28">
        <f>IFERROR((inputs!$G$8/100) *'master data '!J40 * inputs!$I$8,0)</f>
        <v>0</v>
      </c>
      <c r="M41" s="14">
        <f>IFERROR((inputs!$G$10/100) *'master data '!K40 * inputs!$I$10,0)</f>
        <v>0</v>
      </c>
      <c r="N41" s="14">
        <f>IFERROR((inputs!$G$11/100) *'master data '!L40 * inputs!$I$11,0)</f>
        <v>0</v>
      </c>
      <c r="O41" s="28">
        <f>IFERROR((inputs!$B$15/100) *'master data '!M40 * inputs!$D$15,0)</f>
        <v>0</v>
      </c>
      <c r="P41" s="28">
        <f>IFERROR((inputs!$B$9/100) *'master data '!N40 * inputs!$D$9,0)</f>
        <v>0</v>
      </c>
      <c r="Q41" s="28">
        <f>IFERROR((inputs!$G$5/100) *'master data '!O40 * inputs!$I$5,0)</f>
        <v>0</v>
      </c>
      <c r="R41" s="28">
        <f>IFERROR((inputs!$B$10/100) *'master data '!P40 * inputs!$D$10,0)</f>
        <v>0</v>
      </c>
      <c r="S41" s="28">
        <f>IFERROR((inputs!$B$11/100) *'master data '!Q40 * inputs!$D$11,0)</f>
        <v>0</v>
      </c>
      <c r="T41" s="28">
        <f>IFERROR((inputs!$B$12/100) *'master data '!R40 * inputs!$D$12,0)</f>
        <v>0</v>
      </c>
      <c r="U41" s="28">
        <f>IFERROR((inputs!$B$13/100) *'master data '!S40 * inputs!$D$13,0)</f>
        <v>0</v>
      </c>
      <c r="V41" s="28">
        <f>IFERROR((inputs!$B$14/100) *'master data '!T40 * inputs!$D$14,0)</f>
        <v>0</v>
      </c>
      <c r="W41" s="28">
        <f>IFERROR((#REF!/100) *'master data '!U40 *#REF!,0)</f>
        <v>0</v>
      </c>
      <c r="X41" s="28">
        <f>IFERROR((#REF!/100) *'master data '!W40 *#REF!,0)</f>
        <v>0</v>
      </c>
      <c r="Y41" s="28">
        <f>IFERROR((#REF!/100) *'master data '!X40 *#REF!,0)</f>
        <v>0</v>
      </c>
      <c r="Z41" s="28">
        <f>IFERROR((#REF!/100) *'master data '!V40 *#REF!,0)</f>
        <v>0</v>
      </c>
      <c r="AA41" s="28">
        <f>IFERROR((#REF!/100) *'master data '!Y40 *#REF!,0)</f>
        <v>0</v>
      </c>
      <c r="AB41" s="29">
        <f t="shared" si="3"/>
        <v>141.19999999999999</v>
      </c>
      <c r="AC41" s="9">
        <f t="shared" si="7"/>
        <v>20.171428571428571</v>
      </c>
      <c r="AD41" s="10">
        <f t="shared" si="11"/>
        <v>20.171428571428571</v>
      </c>
      <c r="AE41" s="10" t="s">
        <v>65</v>
      </c>
      <c r="AF41" s="11" t="str">
        <f t="shared" si="5"/>
        <v>N/A</v>
      </c>
      <c r="AG41" s="34">
        <f t="shared" si="12"/>
        <v>10.171428571428571</v>
      </c>
      <c r="AH41" s="8"/>
      <c r="AI41" s="11">
        <f t="shared" si="13"/>
        <v>201.71428571428569</v>
      </c>
    </row>
    <row r="42" spans="1:35" outlineLevel="1" x14ac:dyDescent="0.3">
      <c r="A42" s="13" t="s">
        <v>72</v>
      </c>
      <c r="B42" s="13" t="s">
        <v>73</v>
      </c>
      <c r="C42" s="8" t="s">
        <v>65</v>
      </c>
      <c r="D42" s="13">
        <v>0</v>
      </c>
      <c r="E42" s="13">
        <v>35</v>
      </c>
      <c r="F42" s="13"/>
      <c r="G42" s="33">
        <f>IFERROR((inputs!$B$5/100) *'master data '!E41 * inputs!$D$5,0)</f>
        <v>6</v>
      </c>
      <c r="H42" s="33">
        <f>IFERROR((inputs!$B$6/100) *'master data '!F41 * inputs!$D$6,0)</f>
        <v>0</v>
      </c>
      <c r="I42" s="33">
        <f>IFERROR((inputs!$B$7/100) *'master data '!G41 * inputs!$D$7,0)</f>
        <v>0</v>
      </c>
      <c r="J42" s="33">
        <f>IFERROR((inputs!$G$6/100) *'master data '!H41 * inputs!$I$6,0)</f>
        <v>42</v>
      </c>
      <c r="K42" s="33">
        <f>IFERROR((inputs!$G$7/100) *'master data '!I41 * inputs!$I$7,0)</f>
        <v>0</v>
      </c>
      <c r="L42" s="28">
        <f>IFERROR((inputs!$G$8/100) *'master data '!J41 * inputs!$I$8,0)</f>
        <v>0</v>
      </c>
      <c r="M42" s="14">
        <f>IFERROR((inputs!$G$10/100) *'master data '!K41 * inputs!$I$10,0)</f>
        <v>0</v>
      </c>
      <c r="N42" s="14">
        <f>IFERROR((inputs!$G$11/100) *'master data '!L41 * inputs!$I$11,0)</f>
        <v>0</v>
      </c>
      <c r="O42" s="28">
        <f>IFERROR((inputs!$B$15/100) *'master data '!M41 * inputs!$D$15,0)</f>
        <v>37.5</v>
      </c>
      <c r="P42" s="28">
        <f>IFERROR((inputs!$B$9/100) *'master data '!N41 * inputs!$D$9,0)</f>
        <v>75</v>
      </c>
      <c r="Q42" s="28">
        <f>IFERROR((inputs!$G$5/100) *'master data '!O41 * inputs!$I$5,0)</f>
        <v>269.5</v>
      </c>
      <c r="R42" s="28">
        <f>IFERROR((inputs!$B$10/100) *'master data '!P41 * inputs!$D$10,0)</f>
        <v>9</v>
      </c>
      <c r="S42" s="28">
        <f>IFERROR((inputs!$B$11/100) *'master data '!Q41 * inputs!$D$11,0)</f>
        <v>8.5</v>
      </c>
      <c r="T42" s="28">
        <f>IFERROR((inputs!$B$12/100) *'master data '!R41 * inputs!$D$12,0)</f>
        <v>10</v>
      </c>
      <c r="U42" s="28">
        <f>IFERROR((inputs!$B$13/100) *'master data '!S41 * inputs!$D$13,0)</f>
        <v>10.5</v>
      </c>
      <c r="V42" s="28">
        <f>IFERROR((inputs!$B$14/100) *'master data '!T41 * inputs!$D$14,0)</f>
        <v>11</v>
      </c>
      <c r="W42" s="28">
        <f>IFERROR((#REF!/100) *'master data '!U41 *#REF!,0)</f>
        <v>0</v>
      </c>
      <c r="X42" s="28">
        <f>IFERROR((#REF!/100) *'master data '!W41 *#REF!,0)</f>
        <v>0</v>
      </c>
      <c r="Y42" s="28">
        <f>IFERROR((#REF!/100) *'master data '!X41 *#REF!,0)</f>
        <v>0</v>
      </c>
      <c r="Z42" s="28">
        <f>IFERROR((#REF!/100) *'master data '!V41 *#REF!,0)</f>
        <v>0</v>
      </c>
      <c r="AA42" s="28">
        <f>IFERROR((#REF!/100) *'master data '!Y41 *#REF!,0)</f>
        <v>0</v>
      </c>
      <c r="AB42" s="29">
        <f t="shared" si="3"/>
        <v>479</v>
      </c>
      <c r="AC42" s="9">
        <f t="shared" si="7"/>
        <v>68.428571428571431</v>
      </c>
      <c r="AD42" s="10">
        <f t="shared" si="11"/>
        <v>68.428571428571431</v>
      </c>
      <c r="AE42" s="10" t="s">
        <v>65</v>
      </c>
      <c r="AF42" s="11" t="str">
        <f t="shared" si="5"/>
        <v>N/A</v>
      </c>
      <c r="AG42" s="34">
        <f t="shared" si="12"/>
        <v>33.428571428571431</v>
      </c>
      <c r="AH42" s="8"/>
      <c r="AI42" s="11">
        <f t="shared" si="13"/>
        <v>195.51020408163268</v>
      </c>
    </row>
    <row r="43" spans="1:35" outlineLevel="1" x14ac:dyDescent="0.3">
      <c r="A43" s="13" t="s">
        <v>74</v>
      </c>
      <c r="B43" s="13" t="s">
        <v>73</v>
      </c>
      <c r="C43" s="8" t="s">
        <v>65</v>
      </c>
      <c r="D43" s="13">
        <v>0</v>
      </c>
      <c r="E43" s="13">
        <v>65</v>
      </c>
      <c r="F43" s="13"/>
      <c r="G43" s="33">
        <f>IFERROR((inputs!$B$5/100) *'master data '!E42 * inputs!$D$5,0)</f>
        <v>8</v>
      </c>
      <c r="H43" s="33">
        <f>IFERROR((inputs!$B$6/100) *'master data '!F42 * inputs!$D$6,0)</f>
        <v>0</v>
      </c>
      <c r="I43" s="33">
        <f>IFERROR((inputs!$B$7/100) *'master data '!G42 * inputs!$D$7,0)</f>
        <v>0</v>
      </c>
      <c r="J43" s="33">
        <f>IFERROR((inputs!$G$6/100) *'master data '!H42 * inputs!$I$6,0)</f>
        <v>73.5</v>
      </c>
      <c r="K43" s="33">
        <f>IFERROR((inputs!$G$7/100) *'master data '!I42 * inputs!$I$7,0)</f>
        <v>0</v>
      </c>
      <c r="L43" s="28">
        <f>IFERROR((inputs!$G$8/100) *'master data '!J42 * inputs!$I$8,0)</f>
        <v>0</v>
      </c>
      <c r="M43" s="14">
        <f>IFERROR((inputs!$G$10/100) *'master data '!K42 * inputs!$I$10,0)</f>
        <v>0</v>
      </c>
      <c r="N43" s="14">
        <f>IFERROR((inputs!$G$11/100) *'master data '!L42 * inputs!$I$11,0)</f>
        <v>0</v>
      </c>
      <c r="O43" s="28">
        <f>IFERROR((inputs!$B$15/100) *'master data '!M42 * inputs!$D$15,0)</f>
        <v>25</v>
      </c>
      <c r="P43" s="28">
        <f>IFERROR((inputs!$B$9/100) *'master data '!N42 * inputs!$D$9,0)</f>
        <v>62.5</v>
      </c>
      <c r="Q43" s="28">
        <f>IFERROR((inputs!$G$5/100) *'master data '!O42 * inputs!$I$5,0)</f>
        <v>98</v>
      </c>
      <c r="R43" s="28">
        <f>IFERROR((inputs!$B$10/100) *'master data '!P42 * inputs!$D$10,0)</f>
        <v>16</v>
      </c>
      <c r="S43" s="28">
        <f>IFERROR((inputs!$B$11/100) *'master data '!Q42 * inputs!$D$11,0)</f>
        <v>16.5</v>
      </c>
      <c r="T43" s="28">
        <f>IFERROR((inputs!$B$12/100) *'master data '!R42 * inputs!$D$12,0)</f>
        <v>15.5</v>
      </c>
      <c r="U43" s="28">
        <f>IFERROR((inputs!$B$13/100) *'master data '!S42 * inputs!$D$13,0)</f>
        <v>16.5</v>
      </c>
      <c r="V43" s="28">
        <f>IFERROR((inputs!$B$14/100) *'master data '!T42 * inputs!$D$14,0)</f>
        <v>16</v>
      </c>
      <c r="W43" s="28">
        <f>IFERROR((#REF!/100) *'master data '!U42 *#REF!,0)</f>
        <v>0</v>
      </c>
      <c r="X43" s="28">
        <f>IFERROR((#REF!/100) *'master data '!W42 *#REF!,0)</f>
        <v>0</v>
      </c>
      <c r="Y43" s="28">
        <f>IFERROR((#REF!/100) *'master data '!X42 *#REF!,0)</f>
        <v>0</v>
      </c>
      <c r="Z43" s="28">
        <f>IFERROR((#REF!/100) *'master data '!V42 *#REF!,0)</f>
        <v>0</v>
      </c>
      <c r="AA43" s="28">
        <f>IFERROR((#REF!/100) *'master data '!Y42 *#REF!,0)</f>
        <v>0</v>
      </c>
      <c r="AB43" s="29">
        <f t="shared" si="3"/>
        <v>347.5</v>
      </c>
      <c r="AC43" s="9">
        <f t="shared" si="7"/>
        <v>49.642857142857146</v>
      </c>
      <c r="AD43" s="10">
        <f t="shared" si="11"/>
        <v>49.642857142857146</v>
      </c>
      <c r="AE43" s="10" t="s">
        <v>65</v>
      </c>
      <c r="AF43" s="11" t="str">
        <f t="shared" si="5"/>
        <v>N/A</v>
      </c>
      <c r="AG43" s="34">
        <f t="shared" si="12"/>
        <v>-15.357142857142854</v>
      </c>
      <c r="AH43" s="8"/>
      <c r="AI43" s="11">
        <f t="shared" si="13"/>
        <v>76.373626373626379</v>
      </c>
    </row>
    <row r="44" spans="1:35" ht="21" x14ac:dyDescent="0.4">
      <c r="A44" s="18" t="s">
        <v>75</v>
      </c>
      <c r="B44" s="13" t="s">
        <v>64</v>
      </c>
      <c r="C44" s="8" t="s">
        <v>65</v>
      </c>
      <c r="D44" s="13">
        <v>90</v>
      </c>
      <c r="E44" s="13">
        <v>120</v>
      </c>
      <c r="F44" s="13"/>
      <c r="G44" s="33">
        <f>IFERROR((inputs!$B$5/100) *'master data '!E43 * inputs!$D$5,0)</f>
        <v>53.37</v>
      </c>
      <c r="H44" s="33">
        <f>IFERROR((inputs!$B$6/100) *'master data '!F43 * inputs!$D$6,0)</f>
        <v>33.600000000000009</v>
      </c>
      <c r="I44" s="33">
        <f>IFERROR((inputs!$B$7/100) *'master data '!G43 * inputs!$D$7,0)</f>
        <v>50.4</v>
      </c>
      <c r="J44" s="33">
        <f>IFERROR((inputs!$G$6/100) *'master data '!H43 * inputs!$I$6,0)</f>
        <v>27.3</v>
      </c>
      <c r="K44" s="33">
        <f>IFERROR((inputs!$G$7/100) *'master data '!I43 * inputs!$I$7,0)</f>
        <v>57.75</v>
      </c>
      <c r="L44" s="28">
        <f>IFERROR((inputs!$G$8/100) *'master data '!J43 * inputs!$I$8,0)</f>
        <v>12.81</v>
      </c>
      <c r="M44" s="14">
        <f>IFERROR((inputs!$G$10/100) *'master data '!K43 * inputs!$I$10,0)</f>
        <v>55.440000000000005</v>
      </c>
      <c r="N44" s="14">
        <f>IFERROR((inputs!$G$11/100) *'master data '!L43 * inputs!$I$11,0)</f>
        <v>180</v>
      </c>
      <c r="O44" s="28">
        <f>IFERROR((inputs!$B$15/100) *'master data '!M43 * inputs!$D$15,0)</f>
        <v>130</v>
      </c>
      <c r="P44" s="28">
        <f>IFERROR((inputs!$B$9/100) *'master data '!N43 * inputs!$D$9,0)</f>
        <v>50</v>
      </c>
      <c r="Q44" s="28">
        <f>IFERROR((inputs!$G$5/100) *'master data '!O43 * inputs!$I$5,0)</f>
        <v>36.75</v>
      </c>
      <c r="R44" s="28">
        <f>IFERROR((inputs!$B$10/100) *'master data '!P43 * inputs!$D$10,0)</f>
        <v>12</v>
      </c>
      <c r="S44" s="28">
        <f>IFERROR((inputs!$B$11/100) *'master data '!Q43 * inputs!$D$11,0)</f>
        <v>12.2</v>
      </c>
      <c r="T44" s="28">
        <f>IFERROR((inputs!$B$12/100) *'master data '!R43 * inputs!$D$12,0)</f>
        <v>12.55</v>
      </c>
      <c r="U44" s="28">
        <f>IFERROR((inputs!$B$13/100) *'master data '!S43 * inputs!$D$13,0)</f>
        <v>12</v>
      </c>
      <c r="V44" s="28">
        <f>IFERROR((inputs!$B$14/100) *'master data '!T43 * inputs!$D$14,0)</f>
        <v>11.25</v>
      </c>
      <c r="W44" s="28">
        <f>IFERROR((#REF!/100) *'master data '!U43 *#REF!,0)</f>
        <v>0</v>
      </c>
      <c r="X44" s="28">
        <f>IFERROR((#REF!/100) *'master data '!W43 *#REF!,0)</f>
        <v>0</v>
      </c>
      <c r="Y44" s="28">
        <f>IFERROR((#REF!/100) *'master data '!X43 *#REF!,0)</f>
        <v>0</v>
      </c>
      <c r="Z44" s="28">
        <f>IFERROR((#REF!/100) *'master data '!V43 *#REF!,0)</f>
        <v>0</v>
      </c>
      <c r="AA44" s="28">
        <f>IFERROR((#REF!/100) *'master data '!Y43 *#REF!,0)</f>
        <v>0</v>
      </c>
      <c r="AB44" s="29">
        <f t="shared" si="3"/>
        <v>747.42000000000007</v>
      </c>
      <c r="AC44" s="9">
        <f t="shared" si="7"/>
        <v>106.77428571428572</v>
      </c>
      <c r="AD44" s="10">
        <f t="shared" si="11"/>
        <v>16.774285714285725</v>
      </c>
      <c r="AE44" s="10" t="s">
        <v>65</v>
      </c>
      <c r="AF44" s="11">
        <f t="shared" si="5"/>
        <v>118.63809523809525</v>
      </c>
      <c r="AG44" s="34">
        <f t="shared" si="12"/>
        <v>-13.225714285714275</v>
      </c>
      <c r="AH44" s="8" t="s">
        <v>65</v>
      </c>
      <c r="AI44" s="11">
        <f t="shared" si="13"/>
        <v>88.978571428571442</v>
      </c>
    </row>
    <row r="45" spans="1:35" outlineLevel="1" x14ac:dyDescent="0.3">
      <c r="A45" s="13" t="s">
        <v>76</v>
      </c>
      <c r="B45" s="13" t="s">
        <v>77</v>
      </c>
      <c r="C45" s="8" t="s">
        <v>65</v>
      </c>
      <c r="D45" s="13">
        <v>3</v>
      </c>
      <c r="E45" s="13">
        <v>5</v>
      </c>
      <c r="F45" s="13"/>
      <c r="G45" s="33">
        <f>IFERROR((inputs!$B$5/100) *'master data '!E44 * inputs!$D$5,0)</f>
        <v>4.8</v>
      </c>
      <c r="H45" s="33">
        <f>IFERROR((inputs!$B$6/100) *'master data '!F44 * inputs!$D$6,0)</f>
        <v>3.1499999999999995</v>
      </c>
      <c r="I45" s="33">
        <f>IFERROR((inputs!$B$7/100) *'master data '!G44 * inputs!$D$7,0)</f>
        <v>4.4800000000000004</v>
      </c>
      <c r="J45" s="33">
        <f>IFERROR((inputs!$G$6/100) *'master data '!H44 * inputs!$I$6,0)</f>
        <v>2.52</v>
      </c>
      <c r="K45" s="33">
        <f>IFERROR((inputs!$G$7/100) *'master data '!I44 * inputs!$I$7,0)</f>
        <v>4.2</v>
      </c>
      <c r="L45" s="28">
        <f>IFERROR((inputs!$G$8/100) *'master data '!J44 * inputs!$I$8,0)</f>
        <v>0.91</v>
      </c>
      <c r="M45" s="14">
        <f>IFERROR((inputs!$G$10/100) *'master data '!K44 * inputs!$I$10,0)</f>
        <v>4.8400000000000007</v>
      </c>
      <c r="N45" s="14">
        <f>IFERROR((inputs!$G$11/100) *'master data '!L44 * inputs!$I$11,0)</f>
        <v>15.2</v>
      </c>
      <c r="O45" s="28">
        <f>IFERROR((inputs!$B$15/100) *'master data '!M44 * inputs!$D$15,0)</f>
        <v>8.75</v>
      </c>
      <c r="P45" s="28">
        <f>IFERROR((inputs!$B$9/100) *'master data '!N44 * inputs!$D$9,0)</f>
        <v>4</v>
      </c>
      <c r="Q45" s="28">
        <f>IFERROR((inputs!$G$5/100) *'master data '!O44 * inputs!$I$5,0)</f>
        <v>2.94</v>
      </c>
      <c r="R45" s="28">
        <f>IFERROR((inputs!$B$10/100) *'master data '!P44 * inputs!$D$10,0)</f>
        <v>0.875</v>
      </c>
      <c r="S45" s="28">
        <f>IFERROR((inputs!$B$11/100) *'master data '!Q44 * inputs!$D$11,0)</f>
        <v>0.9</v>
      </c>
      <c r="T45" s="28">
        <f>IFERROR((inputs!$B$12/100) *'master data '!R44 * inputs!$D$12,0)</f>
        <v>0.92500000000000004</v>
      </c>
      <c r="U45" s="28">
        <f>IFERROR((inputs!$B$13/100) *'master data '!S44 * inputs!$D$13,0)</f>
        <v>0.875</v>
      </c>
      <c r="V45" s="28">
        <f>IFERROR((inputs!$B$14/100) *'master data '!T44 * inputs!$D$14,0)</f>
        <v>0.85</v>
      </c>
      <c r="W45" s="28">
        <f>IFERROR((#REF!/100) *'master data '!U44 *#REF!,0)</f>
        <v>0</v>
      </c>
      <c r="X45" s="28">
        <f>IFERROR((#REF!/100) *'master data '!W44 *#REF!,0)</f>
        <v>0</v>
      </c>
      <c r="Y45" s="28">
        <f>IFERROR((#REF!/100) *'master data '!X44 *#REF!,0)</f>
        <v>0</v>
      </c>
      <c r="Z45" s="28">
        <f>IFERROR((#REF!/100) *'master data '!V44 *#REF!,0)</f>
        <v>0</v>
      </c>
      <c r="AA45" s="28">
        <f>IFERROR((#REF!/100) *'master data '!Y44 *#REF!,0)</f>
        <v>0</v>
      </c>
      <c r="AB45" s="29">
        <f t="shared" si="3"/>
        <v>60.214999999999989</v>
      </c>
      <c r="AC45" s="9">
        <f t="shared" si="7"/>
        <v>8.6021428571428551</v>
      </c>
      <c r="AD45" s="10">
        <f t="shared" si="11"/>
        <v>5.6021428571428551</v>
      </c>
      <c r="AE45" s="10" t="s">
        <v>65</v>
      </c>
      <c r="AF45" s="11">
        <f t="shared" si="5"/>
        <v>286.73809523809518</v>
      </c>
      <c r="AG45" s="34">
        <f t="shared" si="12"/>
        <v>3.6021428571428551</v>
      </c>
      <c r="AH45" s="8"/>
      <c r="AI45" s="11">
        <f t="shared" si="13"/>
        <v>172.04285714285709</v>
      </c>
    </row>
    <row r="46" spans="1:35" outlineLevel="1" x14ac:dyDescent="0.3">
      <c r="A46" s="13" t="s">
        <v>78</v>
      </c>
      <c r="B46" s="13" t="s">
        <v>77</v>
      </c>
      <c r="C46" s="8" t="s">
        <v>65</v>
      </c>
      <c r="D46" s="13">
        <v>1.6</v>
      </c>
      <c r="E46" s="13">
        <v>3</v>
      </c>
      <c r="F46" s="13"/>
      <c r="G46" s="33">
        <f>IFERROR((inputs!$B$5/100) *'master data '!E45 * inputs!$D$5,0)</f>
        <v>3.1</v>
      </c>
      <c r="H46" s="33">
        <f>IFERROR((inputs!$B$6/100) *'master data '!F45 * inputs!$D$6,0)</f>
        <v>1.7850000000000001</v>
      </c>
      <c r="I46" s="33">
        <f>IFERROR((inputs!$B$7/100) *'master data '!G45 * inputs!$D$7,0)</f>
        <v>2.8000000000000003</v>
      </c>
      <c r="J46" s="33">
        <f>IFERROR((inputs!$G$6/100) *'master data '!H45 * inputs!$I$6,0)</f>
        <v>1.47</v>
      </c>
      <c r="K46" s="33">
        <f>IFERROR((inputs!$G$7/100) *'master data '!I45 * inputs!$I$7,0)</f>
        <v>2.1</v>
      </c>
      <c r="L46" s="28">
        <f>IFERROR((inputs!$G$8/100) *'master data '!J45 * inputs!$I$8,0)</f>
        <v>0.48999999999999994</v>
      </c>
      <c r="M46" s="14">
        <f>IFERROR((inputs!$G$10/100) *'master data '!K45 * inputs!$I$10,0)</f>
        <v>3.08</v>
      </c>
      <c r="N46" s="14">
        <f>IFERROR((inputs!$G$11/100) *'master data '!L45 * inputs!$I$11,0)</f>
        <v>9.6</v>
      </c>
      <c r="O46" s="28">
        <f>IFERROR((inputs!$B$15/100) *'master data '!M45 * inputs!$D$15,0)</f>
        <v>5</v>
      </c>
      <c r="P46" s="28">
        <f>IFERROR((inputs!$B$9/100) *'master data '!N45 * inputs!$D$9,0)</f>
        <v>2.25</v>
      </c>
      <c r="Q46" s="28">
        <f>IFERROR((inputs!$G$5/100) *'master data '!O45 * inputs!$I$5,0)</f>
        <v>1.7149999999999999</v>
      </c>
      <c r="R46" s="28">
        <f>IFERROR((inputs!$B$10/100) *'master data '!P45 * inputs!$D$10,0)</f>
        <v>0.52500000000000002</v>
      </c>
      <c r="S46" s="28">
        <f>IFERROR((inputs!$B$11/100) *'master data '!Q45 * inputs!$D$11,0)</f>
        <v>0.54</v>
      </c>
      <c r="T46" s="28">
        <f>IFERROR((inputs!$B$12/100) *'master data '!R45 * inputs!$D$12,0)</f>
        <v>0.55000000000000004</v>
      </c>
      <c r="U46" s="28">
        <f>IFERROR((inputs!$B$13/100) *'master data '!S45 * inputs!$D$13,0)</f>
        <v>0.52500000000000002</v>
      </c>
      <c r="V46" s="28">
        <f>IFERROR((inputs!$B$14/100) *'master data '!T45 * inputs!$D$14,0)</f>
        <v>0.5</v>
      </c>
      <c r="W46" s="28">
        <f>IFERROR((#REF!/100) *'master data '!U45 *#REF!,0)</f>
        <v>0</v>
      </c>
      <c r="X46" s="28">
        <f>IFERROR((#REF!/100) *'master data '!W45 *#REF!,0)</f>
        <v>0</v>
      </c>
      <c r="Y46" s="28">
        <f>IFERROR((#REF!/100) *'master data '!X45 *#REF!,0)</f>
        <v>0</v>
      </c>
      <c r="Z46" s="28">
        <f>IFERROR((#REF!/100) *'master data '!V45 *#REF!,0)</f>
        <v>0</v>
      </c>
      <c r="AA46" s="28">
        <f>IFERROR((#REF!/100) *'master data '!Y45 *#REF!,0)</f>
        <v>0</v>
      </c>
      <c r="AB46" s="29">
        <f t="shared" si="3"/>
        <v>36.029999999999994</v>
      </c>
      <c r="AC46" s="9">
        <f t="shared" si="7"/>
        <v>5.1471428571428559</v>
      </c>
      <c r="AD46" s="10">
        <f t="shared" si="11"/>
        <v>3.5471428571428558</v>
      </c>
      <c r="AE46" s="10" t="s">
        <v>65</v>
      </c>
      <c r="AF46" s="11">
        <f t="shared" si="5"/>
        <v>321.69642857142844</v>
      </c>
      <c r="AG46" s="34">
        <f t="shared" si="12"/>
        <v>2.1471428571428559</v>
      </c>
      <c r="AH46" s="8"/>
      <c r="AI46" s="11">
        <f t="shared" si="13"/>
        <v>171.57142857142853</v>
      </c>
    </row>
    <row r="47" spans="1:35" outlineLevel="1" x14ac:dyDescent="0.3">
      <c r="A47" s="13" t="s">
        <v>79</v>
      </c>
      <c r="B47" s="13" t="s">
        <v>77</v>
      </c>
      <c r="C47" s="8" t="s">
        <v>65</v>
      </c>
      <c r="D47" s="13">
        <v>1.8</v>
      </c>
      <c r="E47" s="13">
        <v>3</v>
      </c>
      <c r="F47" s="13"/>
      <c r="G47" s="33">
        <f>IFERROR((inputs!$B$5/100) *'master data '!E46 * inputs!$D$5,0)</f>
        <v>3.4</v>
      </c>
      <c r="H47" s="33">
        <f>IFERROR((inputs!$B$6/100) *'master data '!F46 * inputs!$D$6,0)</f>
        <v>2.1000000000000005</v>
      </c>
      <c r="I47" s="33">
        <f>IFERROR((inputs!$B$7/100) *'master data '!G46 * inputs!$D$7,0)</f>
        <v>3.0800000000000005</v>
      </c>
      <c r="J47" s="33">
        <f>IFERROR((inputs!$G$6/100) *'master data '!H46 * inputs!$I$6,0)</f>
        <v>1.8900000000000001</v>
      </c>
      <c r="K47" s="33">
        <f>IFERROR((inputs!$G$7/100) *'master data '!I46 * inputs!$I$7,0)</f>
        <v>2.4500000000000002</v>
      </c>
      <c r="L47" s="28">
        <f>IFERROR((inputs!$G$8/100) *'master data '!J46 * inputs!$I$8,0)</f>
        <v>0.56000000000000005</v>
      </c>
      <c r="M47" s="14">
        <f>IFERROR((inputs!$G$10/100) *'master data '!K46 * inputs!$I$10,0)</f>
        <v>3.9600000000000004</v>
      </c>
      <c r="N47" s="14">
        <f>IFERROR((inputs!$G$11/100) *'master data '!L46 * inputs!$I$11,0)</f>
        <v>10.4</v>
      </c>
      <c r="O47" s="28">
        <f>IFERROR((inputs!$B$15/100) *'master data '!M46 * inputs!$D$15,0)</f>
        <v>5.5</v>
      </c>
      <c r="P47" s="28">
        <f>IFERROR((inputs!$B$9/100) *'master data '!N46 * inputs!$D$9,0)</f>
        <v>2.75</v>
      </c>
      <c r="Q47" s="28">
        <f>IFERROR((inputs!$G$5/100) *'master data '!O46 * inputs!$I$5,0)</f>
        <v>2.4499999999999997</v>
      </c>
      <c r="R47" s="28">
        <f>IFERROR((inputs!$B$10/100) *'master data '!P46 * inputs!$D$10,0)</f>
        <v>0.6</v>
      </c>
      <c r="S47" s="28">
        <f>IFERROR((inputs!$B$11/100) *'master data '!Q46 * inputs!$D$11,0)</f>
        <v>0.625</v>
      </c>
      <c r="T47" s="28">
        <f>IFERROR((inputs!$B$12/100) *'master data '!R46 * inputs!$D$12,0)</f>
        <v>0.65</v>
      </c>
      <c r="U47" s="28">
        <f>IFERROR((inputs!$B$13/100) *'master data '!S46 * inputs!$D$13,0)</f>
        <v>0.625</v>
      </c>
      <c r="V47" s="28">
        <f>IFERROR((inputs!$B$14/100) *'master data '!T46 * inputs!$D$14,0)</f>
        <v>0.6</v>
      </c>
      <c r="W47" s="28">
        <f>IFERROR((#REF!/100) *'master data '!U46 *#REF!,0)</f>
        <v>0</v>
      </c>
      <c r="X47" s="28">
        <f>IFERROR((#REF!/100) *'master data '!W46 *#REF!,0)</f>
        <v>0</v>
      </c>
      <c r="Y47" s="28">
        <f>IFERROR((#REF!/100) *'master data '!X46 *#REF!,0)</f>
        <v>0</v>
      </c>
      <c r="Z47" s="28">
        <f>IFERROR((#REF!/100) *'master data '!V46 *#REF!,0)</f>
        <v>0</v>
      </c>
      <c r="AA47" s="28">
        <f>IFERROR((#REF!/100) *'master data '!Y46 *#REF!,0)</f>
        <v>0</v>
      </c>
      <c r="AB47" s="29">
        <f t="shared" si="3"/>
        <v>41.640000000000008</v>
      </c>
      <c r="AC47" s="9">
        <f t="shared" si="7"/>
        <v>5.9485714285714293</v>
      </c>
      <c r="AD47" s="10">
        <f t="shared" si="11"/>
        <v>4.1485714285714295</v>
      </c>
      <c r="AE47" s="10" t="s">
        <v>65</v>
      </c>
      <c r="AF47" s="11">
        <f t="shared" si="5"/>
        <v>330.47619047619048</v>
      </c>
      <c r="AG47" s="34">
        <f t="shared" si="12"/>
        <v>2.9485714285714293</v>
      </c>
      <c r="AH47" s="8"/>
      <c r="AI47" s="11">
        <f t="shared" si="13"/>
        <v>198.28571428571431</v>
      </c>
    </row>
    <row r="48" spans="1:35" outlineLevel="1" x14ac:dyDescent="0.3">
      <c r="A48" s="13" t="s">
        <v>80</v>
      </c>
      <c r="B48" s="13" t="s">
        <v>77</v>
      </c>
      <c r="C48" s="8" t="s">
        <v>65</v>
      </c>
      <c r="D48" s="13">
        <v>2</v>
      </c>
      <c r="E48" s="13">
        <v>4</v>
      </c>
      <c r="F48" s="13"/>
      <c r="G48" s="33">
        <f>IFERROR((inputs!$B$5/100) *'master data '!E47 * inputs!$D$5,0)</f>
        <v>4.5</v>
      </c>
      <c r="H48" s="33">
        <f>IFERROR((inputs!$B$6/100) *'master data '!F47 * inputs!$D$6,0)</f>
        <v>2.73</v>
      </c>
      <c r="I48" s="33">
        <f>IFERROR((inputs!$B$7/100) *'master data '!G47 * inputs!$D$7,0)</f>
        <v>4.0599999999999996</v>
      </c>
      <c r="J48" s="33">
        <f>IFERROR((inputs!$G$6/100) *'master data '!H47 * inputs!$I$6,0)</f>
        <v>1.47</v>
      </c>
      <c r="K48" s="33">
        <f>IFERROR((inputs!$G$7/100) *'master data '!I47 * inputs!$I$7,0)</f>
        <v>3.1500000000000008</v>
      </c>
      <c r="L48" s="28">
        <f>IFERROR((inputs!$G$8/100) *'master data '!J47 * inputs!$I$8,0)</f>
        <v>0.63000000000000012</v>
      </c>
      <c r="M48" s="14">
        <f>IFERROR((inputs!$G$10/100) *'master data '!K47 * inputs!$I$10,0)</f>
        <v>3.9600000000000004</v>
      </c>
      <c r="N48" s="14">
        <f>IFERROR((inputs!$G$11/100) *'master data '!L47 * inputs!$I$11,0)</f>
        <v>16</v>
      </c>
      <c r="O48" s="28">
        <f>IFERROR((inputs!$B$15/100) *'master data '!M47 * inputs!$D$15,0)</f>
        <v>8.25</v>
      </c>
      <c r="P48" s="28">
        <f>IFERROR((inputs!$B$9/100) *'master data '!N47 * inputs!$D$9,0)</f>
        <v>3.25</v>
      </c>
      <c r="Q48" s="28">
        <f>IFERROR((inputs!$G$5/100) *'master data '!O47 * inputs!$I$5,0)</f>
        <v>1.2249999999999999</v>
      </c>
      <c r="R48" s="28">
        <f>IFERROR((inputs!$B$10/100) *'master data '!P47 * inputs!$D$10,0)</f>
        <v>0.92500000000000004</v>
      </c>
      <c r="S48" s="28">
        <f>IFERROR((inputs!$B$11/100) *'master data '!Q47 * inputs!$D$11,0)</f>
        <v>0.95</v>
      </c>
      <c r="T48" s="28">
        <f>IFERROR((inputs!$B$12/100) *'master data '!R47 * inputs!$D$12,0)</f>
        <v>0.97499999999999998</v>
      </c>
      <c r="U48" s="28">
        <f>IFERROR((inputs!$B$13/100) *'master data '!S47 * inputs!$D$13,0)</f>
        <v>0.92500000000000004</v>
      </c>
      <c r="V48" s="28">
        <f>IFERROR((inputs!$B$14/100) *'master data '!T47 * inputs!$D$14,0)</f>
        <v>0.9</v>
      </c>
      <c r="W48" s="28">
        <f>IFERROR((#REF!/100) *'master data '!U47 *#REF!,0)</f>
        <v>0</v>
      </c>
      <c r="X48" s="28">
        <f>IFERROR((#REF!/100) *'master data '!W47 *#REF!,0)</f>
        <v>0</v>
      </c>
      <c r="Y48" s="28">
        <f>IFERROR((#REF!/100) *'master data '!X47 *#REF!,0)</f>
        <v>0</v>
      </c>
      <c r="Z48" s="28">
        <f>IFERROR((#REF!/100) *'master data '!V47 *#REF!,0)</f>
        <v>0</v>
      </c>
      <c r="AA48" s="28">
        <f>IFERROR((#REF!/100) *'master data '!Y47 *#REF!,0)</f>
        <v>0</v>
      </c>
      <c r="AB48" s="29">
        <f t="shared" si="3"/>
        <v>53.9</v>
      </c>
      <c r="AC48" s="9">
        <f t="shared" si="7"/>
        <v>7.7</v>
      </c>
      <c r="AD48" s="10">
        <f t="shared" si="11"/>
        <v>5.7</v>
      </c>
      <c r="AE48" s="10" t="s">
        <v>65</v>
      </c>
      <c r="AF48" s="11">
        <f t="shared" si="5"/>
        <v>385</v>
      </c>
      <c r="AG48" s="34">
        <f t="shared" si="12"/>
        <v>3.7</v>
      </c>
      <c r="AH48" s="8"/>
      <c r="AI48" s="11">
        <f t="shared" si="13"/>
        <v>192.5</v>
      </c>
    </row>
    <row r="49" spans="1:35" outlineLevel="1" x14ac:dyDescent="0.3">
      <c r="A49" s="13" t="s">
        <v>81</v>
      </c>
      <c r="B49" s="13" t="s">
        <v>77</v>
      </c>
      <c r="C49" s="8" t="s">
        <v>65</v>
      </c>
      <c r="D49" s="13">
        <v>1</v>
      </c>
      <c r="E49" s="13">
        <v>2</v>
      </c>
      <c r="F49" s="13"/>
      <c r="G49" s="33">
        <f>IFERROR((inputs!$B$5/100) *'master data '!E48 * inputs!$D$5,0)</f>
        <v>1</v>
      </c>
      <c r="H49" s="33">
        <f>IFERROR((inputs!$B$6/100) *'master data '!F48 * inputs!$D$6,0)</f>
        <v>0.84</v>
      </c>
      <c r="I49" s="33">
        <f>IFERROR((inputs!$B$7/100) *'master data '!G48 * inputs!$D$7,0)</f>
        <v>1.1200000000000001</v>
      </c>
      <c r="J49" s="33">
        <f>IFERROR((inputs!$G$6/100) *'master data '!H48 * inputs!$I$6,0)</f>
        <v>0.63</v>
      </c>
      <c r="K49" s="33">
        <f>IFERROR((inputs!$G$7/100) *'master data '!I48 * inputs!$I$7,0)</f>
        <v>1.05</v>
      </c>
      <c r="L49" s="28">
        <f>IFERROR((inputs!$G$8/100) *'master data '!J48 * inputs!$I$8,0)</f>
        <v>0.21</v>
      </c>
      <c r="M49" s="14">
        <f>IFERROR((inputs!$G$10/100) *'master data '!K48 * inputs!$I$10,0)</f>
        <v>1.7600000000000002</v>
      </c>
      <c r="N49" s="14">
        <f>IFERROR((inputs!$G$11/100) *'master data '!L48 * inputs!$I$11,0)</f>
        <v>5.6</v>
      </c>
      <c r="O49" s="28">
        <f>IFERROR((inputs!$B$15/100) *'master data '!M48 * inputs!$D$15,0)</f>
        <v>1.5</v>
      </c>
      <c r="P49" s="28">
        <f>IFERROR((inputs!$B$9/100) *'master data '!N48 * inputs!$D$9,0)</f>
        <v>0.75</v>
      </c>
      <c r="Q49" s="28">
        <f>IFERROR((inputs!$G$5/100) *'master data '!O48 * inputs!$I$5,0)</f>
        <v>0.88200000000000001</v>
      </c>
      <c r="R49" s="28">
        <f>IFERROR((inputs!$B$10/100) *'master data '!P48 * inputs!$D$10,0)</f>
        <v>0.15</v>
      </c>
      <c r="S49" s="28">
        <f>IFERROR((inputs!$B$11/100) *'master data '!Q48 * inputs!$D$11,0)</f>
        <v>0.16</v>
      </c>
      <c r="T49" s="28">
        <f>IFERROR((inputs!$B$12/100) *'master data '!R48 * inputs!$D$12,0)</f>
        <v>0.14000000000000001</v>
      </c>
      <c r="U49" s="28">
        <f>IFERROR((inputs!$B$13/100) *'master data '!S48 * inputs!$D$13,0)</f>
        <v>0.13500000000000001</v>
      </c>
      <c r="V49" s="28">
        <f>IFERROR((inputs!$B$14/100) *'master data '!T48 * inputs!$D$14,0)</f>
        <v>0.13</v>
      </c>
      <c r="W49" s="28">
        <f>IFERROR((#REF!/100) *'master data '!U48 *#REF!,0)</f>
        <v>0</v>
      </c>
      <c r="X49" s="28">
        <f>IFERROR((#REF!/100) *'master data '!W48 *#REF!,0)</f>
        <v>0</v>
      </c>
      <c r="Y49" s="28">
        <f>IFERROR((#REF!/100) *'master data '!X48 *#REF!,0)</f>
        <v>0</v>
      </c>
      <c r="Z49" s="28">
        <f>IFERROR((#REF!/100) *'master data '!V48 *#REF!,0)</f>
        <v>0</v>
      </c>
      <c r="AA49" s="28">
        <f>IFERROR((#REF!/100) *'master data '!Y48 *#REF!,0)</f>
        <v>0</v>
      </c>
      <c r="AB49" s="29">
        <f t="shared" si="3"/>
        <v>16.056999999999999</v>
      </c>
      <c r="AC49" s="9">
        <f t="shared" si="7"/>
        <v>2.2938571428571426</v>
      </c>
      <c r="AD49" s="10">
        <f t="shared" si="11"/>
        <v>1.2938571428571426</v>
      </c>
      <c r="AE49" s="10" t="s">
        <v>65</v>
      </c>
      <c r="AF49" s="11">
        <f t="shared" si="5"/>
        <v>229.38571428571427</v>
      </c>
      <c r="AG49" s="34">
        <f t="shared" si="12"/>
        <v>0.29385714285714259</v>
      </c>
      <c r="AH49" s="8"/>
      <c r="AI49" s="11">
        <f t="shared" si="13"/>
        <v>114.69285714285714</v>
      </c>
    </row>
    <row r="50" spans="1:35" outlineLevel="1" x14ac:dyDescent="0.3">
      <c r="A50" s="13" t="s">
        <v>82</v>
      </c>
      <c r="B50" s="13" t="s">
        <v>77</v>
      </c>
      <c r="C50" s="8" t="s">
        <v>65</v>
      </c>
      <c r="D50" s="13">
        <v>1.5</v>
      </c>
      <c r="E50" s="13">
        <v>2</v>
      </c>
      <c r="F50" s="13"/>
      <c r="G50" s="33">
        <f>IFERROR((inputs!$B$5/100) *'master data '!E49 * inputs!$D$5,0)</f>
        <v>2.9</v>
      </c>
      <c r="H50" s="33">
        <f>IFERROR((inputs!$B$6/100) *'master data '!F49 * inputs!$D$6,0)</f>
        <v>1.4700000000000002</v>
      </c>
      <c r="I50" s="33">
        <f>IFERROR((inputs!$B$7/100) *'master data '!G49 * inputs!$D$7,0)</f>
        <v>2.2400000000000002</v>
      </c>
      <c r="J50" s="33">
        <f>IFERROR((inputs!$G$6/100) *'master data '!H49 * inputs!$I$6,0)</f>
        <v>1.26</v>
      </c>
      <c r="K50" s="33">
        <f>IFERROR((inputs!$G$7/100) *'master data '!I49 * inputs!$I$7,0)</f>
        <v>2.1</v>
      </c>
      <c r="L50" s="28">
        <f>IFERROR((inputs!$G$8/100) *'master data '!J49 * inputs!$I$8,0)</f>
        <v>0.48999999999999994</v>
      </c>
      <c r="M50" s="14">
        <f>IFERROR((inputs!$G$10/100) *'master data '!K49 * inputs!$I$10,0)</f>
        <v>2.64</v>
      </c>
      <c r="N50" s="14">
        <f>IFERROR((inputs!$G$11/100) *'master data '!L49 * inputs!$I$11,0)</f>
        <v>8</v>
      </c>
      <c r="O50" s="28">
        <f>IFERROR((inputs!$B$15/100) *'master data '!M49 * inputs!$D$15,0)</f>
        <v>5</v>
      </c>
      <c r="P50" s="28">
        <f>IFERROR((inputs!$B$9/100) *'master data '!N49 * inputs!$D$9,0)</f>
        <v>2</v>
      </c>
      <c r="Q50" s="28">
        <f>IFERROR((inputs!$G$5/100) *'master data '!O49 * inputs!$I$5,0)</f>
        <v>1.47</v>
      </c>
      <c r="R50" s="28">
        <f>IFERROR((inputs!$B$10/100) *'master data '!P49 * inputs!$D$10,0)</f>
        <v>0.47499999999999998</v>
      </c>
      <c r="S50" s="28">
        <f>IFERROR((inputs!$B$11/100) *'master data '!Q49 * inputs!$D$11,0)</f>
        <v>0.49</v>
      </c>
      <c r="T50" s="28">
        <f>IFERROR((inputs!$B$12/100) *'master data '!R49 * inputs!$D$12,0)</f>
        <v>0.48</v>
      </c>
      <c r="U50" s="28">
        <f>IFERROR((inputs!$B$13/100) *'master data '!S49 * inputs!$D$13,0)</f>
        <v>0.46</v>
      </c>
      <c r="V50" s="28">
        <f>IFERROR((inputs!$B$14/100) *'master data '!T49 * inputs!$D$14,0)</f>
        <v>0.45</v>
      </c>
      <c r="W50" s="28">
        <f>IFERROR((#REF!/100) *'master data '!U49 *#REF!,0)</f>
        <v>0</v>
      </c>
      <c r="X50" s="28">
        <f>IFERROR((#REF!/100) *'master data '!W49 *#REF!,0)</f>
        <v>0</v>
      </c>
      <c r="Y50" s="28">
        <f>IFERROR((#REF!/100) *'master data '!X49 *#REF!,0)</f>
        <v>0</v>
      </c>
      <c r="Z50" s="28">
        <f>IFERROR((#REF!/100) *'master data '!V49 *#REF!,0)</f>
        <v>0</v>
      </c>
      <c r="AA50" s="28">
        <f>IFERROR((#REF!/100) *'master data '!Y49 *#REF!,0)</f>
        <v>0</v>
      </c>
      <c r="AB50" s="29">
        <f t="shared" si="3"/>
        <v>31.925000000000001</v>
      </c>
      <c r="AC50" s="9">
        <f t="shared" si="7"/>
        <v>4.5607142857142859</v>
      </c>
      <c r="AD50" s="10">
        <f t="shared" si="11"/>
        <v>3.0607142857142859</v>
      </c>
      <c r="AE50" s="10" t="s">
        <v>65</v>
      </c>
      <c r="AF50" s="11">
        <f t="shared" si="5"/>
        <v>304.04761904761909</v>
      </c>
      <c r="AG50" s="34">
        <f t="shared" si="12"/>
        <v>2.5607142857142859</v>
      </c>
      <c r="AH50" s="8"/>
      <c r="AI50" s="11">
        <f t="shared" si="13"/>
        <v>228.03571428571431</v>
      </c>
    </row>
    <row r="51" spans="1:35" outlineLevel="1" x14ac:dyDescent="0.3">
      <c r="A51" s="13" t="s">
        <v>83</v>
      </c>
      <c r="B51" s="13" t="s">
        <v>77</v>
      </c>
      <c r="C51" s="8" t="s">
        <v>65</v>
      </c>
      <c r="D51" s="13">
        <v>2</v>
      </c>
      <c r="E51" s="13">
        <v>3</v>
      </c>
      <c r="F51" s="13"/>
      <c r="G51" s="33">
        <f>IFERROR((inputs!$B$5/100) *'master data '!E50 * inputs!$D$5,0)</f>
        <v>2.6</v>
      </c>
      <c r="H51" s="33">
        <f>IFERROR((inputs!$B$6/100) *'master data '!F50 * inputs!$D$6,0)</f>
        <v>1.5749999999999997</v>
      </c>
      <c r="I51" s="33">
        <f>IFERROR((inputs!$B$7/100) *'master data '!G50 * inputs!$D$7,0)</f>
        <v>2.3800000000000003</v>
      </c>
      <c r="J51" s="33">
        <f>IFERROR((inputs!$G$6/100) *'master data '!H50 * inputs!$I$6,0)</f>
        <v>2.1</v>
      </c>
      <c r="K51" s="33">
        <f>IFERROR((inputs!$G$7/100) *'master data '!I50 * inputs!$I$7,0)</f>
        <v>3.1500000000000008</v>
      </c>
      <c r="L51" s="28">
        <f>IFERROR((inputs!$G$8/100) *'master data '!J50 * inputs!$I$8,0)</f>
        <v>0.63000000000000012</v>
      </c>
      <c r="M51" s="14">
        <f>IFERROR((inputs!$G$10/100) *'master data '!K50 * inputs!$I$10,0)</f>
        <v>3.08</v>
      </c>
      <c r="N51" s="14">
        <f>IFERROR((inputs!$G$11/100) *'master data '!L50 * inputs!$I$11,0)</f>
        <v>7.2</v>
      </c>
      <c r="O51" s="28">
        <f>IFERROR((inputs!$B$15/100) *'master data '!M50 * inputs!$D$15,0)</f>
        <v>5</v>
      </c>
      <c r="P51" s="28">
        <f>IFERROR((inputs!$B$9/100) *'master data '!N50 * inputs!$D$9,0)</f>
        <v>2.75</v>
      </c>
      <c r="Q51" s="28">
        <f>IFERROR((inputs!$G$5/100) *'master data '!O50 * inputs!$I$5,0)</f>
        <v>2.2050000000000001</v>
      </c>
      <c r="R51" s="28">
        <f>IFERROR((inputs!$B$10/100) *'master data '!P50 * inputs!$D$10,0)</f>
        <v>0.625</v>
      </c>
      <c r="S51" s="28">
        <f>IFERROR((inputs!$B$11/100) *'master data '!Q50 * inputs!$D$11,0)</f>
        <v>0.65</v>
      </c>
      <c r="T51" s="28">
        <f>IFERROR((inputs!$B$12/100) *'master data '!R50 * inputs!$D$12,0)</f>
        <v>0.66</v>
      </c>
      <c r="U51" s="28">
        <f>IFERROR((inputs!$B$13/100) *'master data '!S50 * inputs!$D$13,0)</f>
        <v>0.6</v>
      </c>
      <c r="V51" s="28">
        <f>IFERROR((inputs!$B$14/100) *'master data '!T50 * inputs!$D$14,0)</f>
        <v>0.57499999999999996</v>
      </c>
      <c r="W51" s="28">
        <f>IFERROR((#REF!/100) *'master data '!U50 *#REF!,0)</f>
        <v>0</v>
      </c>
      <c r="X51" s="28">
        <f>IFERROR((#REF!/100) *'master data '!W50 *#REF!,0)</f>
        <v>0</v>
      </c>
      <c r="Y51" s="28">
        <f>IFERROR((#REF!/100) *'master data '!X50 *#REF!,0)</f>
        <v>0</v>
      </c>
      <c r="Z51" s="28">
        <f>IFERROR((#REF!/100) *'master data '!V50 *#REF!,0)</f>
        <v>0</v>
      </c>
      <c r="AA51" s="28">
        <f>IFERROR((#REF!/100) *'master data '!Y50 *#REF!,0)</f>
        <v>0</v>
      </c>
      <c r="AB51" s="29">
        <f t="shared" si="3"/>
        <v>35.78</v>
      </c>
      <c r="AC51" s="9">
        <f t="shared" si="7"/>
        <v>5.1114285714285712</v>
      </c>
      <c r="AD51" s="10">
        <f t="shared" si="11"/>
        <v>3.1114285714285712</v>
      </c>
      <c r="AE51" s="10" t="s">
        <v>65</v>
      </c>
      <c r="AF51" s="11">
        <f t="shared" si="5"/>
        <v>255.57142857142856</v>
      </c>
      <c r="AG51" s="34">
        <f t="shared" si="12"/>
        <v>2.1114285714285712</v>
      </c>
      <c r="AH51" s="8"/>
      <c r="AI51" s="11">
        <f t="shared" si="13"/>
        <v>170.38095238095238</v>
      </c>
    </row>
    <row r="52" spans="1:35" outlineLevel="1" x14ac:dyDescent="0.3">
      <c r="A52" s="13" t="s">
        <v>84</v>
      </c>
      <c r="B52" s="13" t="s">
        <v>77</v>
      </c>
      <c r="C52" s="8" t="s">
        <v>65</v>
      </c>
      <c r="D52" s="13">
        <v>0.25</v>
      </c>
      <c r="E52" s="13">
        <v>1</v>
      </c>
      <c r="F52" s="13"/>
      <c r="G52" s="33">
        <f>IFERROR((inputs!$B$5/100) *'master data '!E51 * inputs!$D$5,0)</f>
        <v>0.9</v>
      </c>
      <c r="H52" s="33">
        <f>IFERROR((inputs!$B$6/100) *'master data '!F51 * inputs!$D$6,0)</f>
        <v>0.52500000000000013</v>
      </c>
      <c r="I52" s="33">
        <f>IFERROR((inputs!$B$7/100) *'master data '!G51 * inputs!$D$7,0)</f>
        <v>0.70000000000000007</v>
      </c>
      <c r="J52" s="33">
        <f>IFERROR((inputs!$G$6/100) *'master data '!H51 * inputs!$I$6,0)</f>
        <v>0.42</v>
      </c>
      <c r="K52" s="33">
        <f>IFERROR((inputs!$G$7/100) *'master data '!I51 * inputs!$I$7,0)</f>
        <v>0.70000000000000007</v>
      </c>
      <c r="L52" s="28">
        <f>IFERROR((inputs!$G$8/100) *'master data '!J51 * inputs!$I$8,0)</f>
        <v>0.14000000000000001</v>
      </c>
      <c r="M52" s="14">
        <f>IFERROR((inputs!$G$10/100) *'master data '!K51 * inputs!$I$10,0)</f>
        <v>0.88000000000000012</v>
      </c>
      <c r="N52" s="14">
        <f>IFERROR((inputs!$G$11/100) *'master data '!L51 * inputs!$I$11,0)</f>
        <v>2</v>
      </c>
      <c r="O52" s="28">
        <f>IFERROR((inputs!$B$15/100) *'master data '!M51 * inputs!$D$15,0)</f>
        <v>1.5</v>
      </c>
      <c r="P52" s="28">
        <f>IFERROR((inputs!$B$9/100) *'master data '!N51 * inputs!$D$9,0)</f>
        <v>0.5</v>
      </c>
      <c r="Q52" s="28">
        <f>IFERROR((inputs!$G$5/100) *'master data '!O51 * inputs!$I$5,0)</f>
        <v>0.441</v>
      </c>
      <c r="R52" s="28">
        <f>IFERROR((inputs!$B$10/100) *'master data '!P51 * inputs!$D$10,0)</f>
        <v>0.125</v>
      </c>
      <c r="S52" s="28">
        <f>IFERROR((inputs!$B$11/100) *'master data '!Q51 * inputs!$D$11,0)</f>
        <v>0.13</v>
      </c>
      <c r="T52" s="28">
        <f>IFERROR((inputs!$B$12/100) *'master data '!R51 * inputs!$D$12,0)</f>
        <v>0.12</v>
      </c>
      <c r="U52" s="28">
        <f>IFERROR((inputs!$B$13/100) *'master data '!S51 * inputs!$D$13,0)</f>
        <v>0.11</v>
      </c>
      <c r="V52" s="28">
        <f>IFERROR((inputs!$B$14/100) *'master data '!T51 * inputs!$D$14,0)</f>
        <v>0.105</v>
      </c>
      <c r="W52" s="28">
        <f>IFERROR((#REF!/100) *'master data '!U51 *#REF!,0)</f>
        <v>0</v>
      </c>
      <c r="X52" s="28">
        <f>IFERROR((#REF!/100) *'master data '!W51 *#REF!,0)</f>
        <v>0</v>
      </c>
      <c r="Y52" s="28">
        <f>IFERROR((#REF!/100) *'master data '!X51 *#REF!,0)</f>
        <v>0</v>
      </c>
      <c r="Z52" s="28">
        <f>IFERROR((#REF!/100) *'master data '!V51 *#REF!,0)</f>
        <v>0</v>
      </c>
      <c r="AA52" s="28">
        <f>IFERROR((#REF!/100) *'master data '!Y51 *#REF!,0)</f>
        <v>0</v>
      </c>
      <c r="AB52" s="29">
        <f t="shared" si="3"/>
        <v>9.2960000000000012</v>
      </c>
      <c r="AC52" s="9">
        <f t="shared" si="7"/>
        <v>1.3280000000000001</v>
      </c>
      <c r="AD52" s="10">
        <f t="shared" si="11"/>
        <v>1.0780000000000001</v>
      </c>
      <c r="AE52" s="10" t="s">
        <v>65</v>
      </c>
      <c r="AF52" s="11">
        <f t="shared" si="5"/>
        <v>531.20000000000005</v>
      </c>
      <c r="AG52" s="34">
        <f t="shared" si="12"/>
        <v>0.32800000000000007</v>
      </c>
      <c r="AH52" s="8"/>
      <c r="AI52" s="11">
        <f t="shared" si="13"/>
        <v>132.80000000000001</v>
      </c>
    </row>
    <row r="53" spans="1:35" outlineLevel="1" x14ac:dyDescent="0.3">
      <c r="A53" s="13" t="s">
        <v>85</v>
      </c>
      <c r="B53" s="13" t="s">
        <v>77</v>
      </c>
      <c r="C53" s="8" t="s">
        <v>65</v>
      </c>
      <c r="D53" s="13">
        <v>0.8</v>
      </c>
      <c r="E53" s="13">
        <v>1</v>
      </c>
      <c r="F53" s="13"/>
      <c r="G53" s="33">
        <f>IFERROR((inputs!$B$5/100) *'master data '!E52 * inputs!$D$5,0)</f>
        <v>1.4</v>
      </c>
      <c r="H53" s="33">
        <f>IFERROR((inputs!$B$6/100) *'master data '!F52 * inputs!$D$6,0)</f>
        <v>0.94500000000000006</v>
      </c>
      <c r="I53" s="33">
        <f>IFERROR((inputs!$B$7/100) *'master data '!G52 * inputs!$D$7,0)</f>
        <v>1.4000000000000001</v>
      </c>
      <c r="J53" s="33">
        <f>IFERROR((inputs!$G$6/100) *'master data '!H52 * inputs!$I$6,0)</f>
        <v>0.84</v>
      </c>
      <c r="K53" s="33">
        <f>IFERROR((inputs!$G$7/100) *'master data '!I52 * inputs!$I$7,0)</f>
        <v>1.7500000000000002</v>
      </c>
      <c r="L53" s="28">
        <f>IFERROR((inputs!$G$8/100) *'master data '!J52 * inputs!$I$8,0)</f>
        <v>0.35000000000000003</v>
      </c>
      <c r="M53" s="14">
        <f>IFERROR((inputs!$G$10/100) *'master data '!K52 * inputs!$I$10,0)</f>
        <v>1.32</v>
      </c>
      <c r="N53" s="14">
        <f>IFERROR((inputs!$G$11/100) *'master data '!L52 * inputs!$I$11,0)</f>
        <v>6.4</v>
      </c>
      <c r="O53" s="28">
        <f>IFERROR((inputs!$B$15/100) *'master data '!M52 * inputs!$D$15,0)</f>
        <v>3.75</v>
      </c>
      <c r="P53" s="28">
        <f>IFERROR((inputs!$B$9/100) *'master data '!N52 * inputs!$D$9,0)</f>
        <v>1.5</v>
      </c>
      <c r="Q53" s="28">
        <f>IFERROR((inputs!$G$5/100) *'master data '!O52 * inputs!$I$5,0)</f>
        <v>0.97999999999999987</v>
      </c>
      <c r="R53" s="28">
        <f>IFERROR((inputs!$B$10/100) *'master data '!P52 * inputs!$D$10,0)</f>
        <v>0.35</v>
      </c>
      <c r="S53" s="28">
        <f>IFERROR((inputs!$B$11/100) *'master data '!Q52 * inputs!$D$11,0)</f>
        <v>0.36</v>
      </c>
      <c r="T53" s="28">
        <f>IFERROR((inputs!$B$12/100) *'master data '!R52 * inputs!$D$12,0)</f>
        <v>0.37</v>
      </c>
      <c r="U53" s="28">
        <f>IFERROR((inputs!$B$13/100) *'master data '!S52 * inputs!$D$13,0)</f>
        <v>0.34</v>
      </c>
      <c r="V53" s="28">
        <f>IFERROR((inputs!$B$14/100) *'master data '!T52 * inputs!$D$14,0)</f>
        <v>0.32500000000000001</v>
      </c>
      <c r="W53" s="28">
        <f>IFERROR((#REF!/100) *'master data '!U52 *#REF!,0)</f>
        <v>0</v>
      </c>
      <c r="X53" s="28">
        <f>IFERROR((#REF!/100) *'master data '!W52 *#REF!,0)</f>
        <v>0</v>
      </c>
      <c r="Y53" s="28">
        <f>IFERROR((#REF!/100) *'master data '!X52 *#REF!,0)</f>
        <v>0</v>
      </c>
      <c r="Z53" s="28">
        <f>IFERROR((#REF!/100) *'master data '!V52 *#REF!,0)</f>
        <v>0</v>
      </c>
      <c r="AA53" s="28">
        <f>IFERROR((#REF!/100) *'master data '!Y52 *#REF!,0)</f>
        <v>0</v>
      </c>
      <c r="AB53" s="29">
        <f t="shared" si="3"/>
        <v>22.380000000000003</v>
      </c>
      <c r="AC53" s="9">
        <f t="shared" si="7"/>
        <v>3.1971428571428575</v>
      </c>
      <c r="AD53" s="10">
        <f t="shared" si="11"/>
        <v>2.3971428571428577</v>
      </c>
      <c r="AE53" s="10" t="s">
        <v>65</v>
      </c>
      <c r="AF53" s="11">
        <f t="shared" si="5"/>
        <v>399.64285714285717</v>
      </c>
      <c r="AG53" s="34">
        <f t="shared" si="12"/>
        <v>2.1971428571428575</v>
      </c>
      <c r="AH53" s="8"/>
      <c r="AI53" s="11">
        <f t="shared" si="13"/>
        <v>319.71428571428578</v>
      </c>
    </row>
    <row r="54" spans="1:35" ht="28.8" outlineLevel="1" x14ac:dyDescent="0.3">
      <c r="A54" s="13" t="s">
        <v>86</v>
      </c>
      <c r="B54" s="13" t="s">
        <v>87</v>
      </c>
      <c r="C54" s="8" t="s">
        <v>65</v>
      </c>
      <c r="D54" s="13">
        <v>2</v>
      </c>
      <c r="E54" s="13">
        <v>4</v>
      </c>
      <c r="F54" s="13"/>
      <c r="G54" s="33">
        <f>IFERROR((inputs!$B$5/100) *'master data '!E53 * inputs!$D$5,0)</f>
        <v>2.8</v>
      </c>
      <c r="H54" s="33">
        <f>IFERROR((inputs!$B$6/100) *'master data '!F53 * inputs!$D$6,0)</f>
        <v>1.26</v>
      </c>
      <c r="I54" s="33">
        <f>IFERROR((inputs!$B$7/100) *'master data '!G53 * inputs!$D$7,0)</f>
        <v>1.5400000000000003</v>
      </c>
      <c r="J54" s="33">
        <f>IFERROR((inputs!$G$6/100) *'master data '!H53 * inputs!$I$6,0)</f>
        <v>2.52</v>
      </c>
      <c r="K54" s="33">
        <f>IFERROR((inputs!$G$7/100) *'master data '!I53 * inputs!$I$7,0)</f>
        <v>7.3500000000000014</v>
      </c>
      <c r="L54" s="28">
        <f>IFERROR((inputs!$G$8/100) *'master data '!J53 * inputs!$I$8,0)</f>
        <v>1.4000000000000001</v>
      </c>
      <c r="M54" s="14">
        <f>IFERROR((inputs!$G$10/100) *'master data '!K53 * inputs!$I$10,0)</f>
        <v>3.5200000000000005</v>
      </c>
      <c r="N54" s="14">
        <f>IFERROR((inputs!$G$11/100) *'master data '!L53 * inputs!$I$11,0)</f>
        <v>12</v>
      </c>
      <c r="O54" s="28">
        <f>IFERROR((inputs!$B$15/100) *'master data '!M53 * inputs!$D$15,0)</f>
        <v>7.75</v>
      </c>
      <c r="P54" s="28">
        <f>IFERROR((inputs!$B$9/100) *'master data '!N53 * inputs!$D$9,0)</f>
        <v>3.5</v>
      </c>
      <c r="Q54" s="28">
        <f>IFERROR((inputs!$G$5/100) *'master data '!O53 * inputs!$I$5,0)</f>
        <v>2.6950000000000003</v>
      </c>
      <c r="R54" s="28">
        <f>IFERROR((inputs!$B$10/100) *'master data '!P53 * inputs!$D$10,0)</f>
        <v>0.97499999999999998</v>
      </c>
      <c r="S54" s="28">
        <f>IFERROR((inputs!$B$11/100) *'master data '!Q53 * inputs!$D$11,0)</f>
        <v>1.0249999999999999</v>
      </c>
      <c r="T54" s="28">
        <f>IFERROR((inputs!$B$12/100) *'master data '!R53 * inputs!$D$12,0)</f>
        <v>1.05</v>
      </c>
      <c r="U54" s="28">
        <f>IFERROR((inputs!$B$13/100) *'master data '!S53 * inputs!$D$13,0)</f>
        <v>0.95</v>
      </c>
      <c r="V54" s="28">
        <f>IFERROR((inputs!$B$14/100) *'master data '!T53 * inputs!$D$14,0)</f>
        <v>0.92500000000000004</v>
      </c>
      <c r="W54" s="28">
        <f>IFERROR((#REF!/100) *'master data '!U53 *#REF!,0)</f>
        <v>0</v>
      </c>
      <c r="X54" s="28">
        <f>IFERROR((#REF!/100) *'master data '!W53 *#REF!,0)</f>
        <v>0</v>
      </c>
      <c r="Y54" s="28">
        <f>IFERROR((#REF!/100) *'master data '!X53 *#REF!,0)</f>
        <v>0</v>
      </c>
      <c r="Z54" s="28">
        <f>IFERROR((#REF!/100) *'master data '!V53 *#REF!,0)</f>
        <v>0</v>
      </c>
      <c r="AA54" s="28">
        <f>IFERROR((#REF!/100) *'master data '!Y53 *#REF!,0)</f>
        <v>0</v>
      </c>
      <c r="AB54" s="29">
        <f t="shared" si="3"/>
        <v>51.26</v>
      </c>
      <c r="AC54" s="9">
        <f t="shared" si="7"/>
        <v>7.322857142857143</v>
      </c>
      <c r="AD54" s="10">
        <f t="shared" si="11"/>
        <v>5.322857142857143</v>
      </c>
      <c r="AE54" s="10" t="s">
        <v>65</v>
      </c>
      <c r="AF54" s="11">
        <f t="shared" si="5"/>
        <v>366.14285714285717</v>
      </c>
      <c r="AG54" s="34">
        <f t="shared" si="12"/>
        <v>3.322857142857143</v>
      </c>
      <c r="AH54" s="8"/>
      <c r="AI54" s="11">
        <f t="shared" si="13"/>
        <v>183.07142857142858</v>
      </c>
    </row>
    <row r="55" spans="1:35" ht="28.8" outlineLevel="1" x14ac:dyDescent="0.3">
      <c r="A55" s="13" t="s">
        <v>88</v>
      </c>
      <c r="B55" s="13" t="s">
        <v>87</v>
      </c>
      <c r="C55" s="8" t="s">
        <v>65</v>
      </c>
      <c r="D55" s="13">
        <v>5</v>
      </c>
      <c r="E55" s="13">
        <v>10</v>
      </c>
      <c r="F55" s="13"/>
      <c r="G55" s="33">
        <f>IFERROR((inputs!$B$5/100) *'master data '!E54 * inputs!$D$5,0)</f>
        <v>8.5</v>
      </c>
      <c r="H55" s="33">
        <f>IFERROR((inputs!$B$6/100) *'master data '!F54 * inputs!$D$6,0)</f>
        <v>5.7750000000000004</v>
      </c>
      <c r="I55" s="33">
        <f>IFERROR((inputs!$B$7/100) *'master data '!G54 * inputs!$D$7,0)</f>
        <v>9.1</v>
      </c>
      <c r="J55" s="33">
        <f>IFERROR((inputs!$G$6/100) *'master data '!H54 * inputs!$I$6,0)</f>
        <v>6.2999999999999989</v>
      </c>
      <c r="K55" s="33">
        <f>IFERROR((inputs!$G$7/100) *'master data '!I54 * inputs!$I$7,0)</f>
        <v>10.500000000000002</v>
      </c>
      <c r="L55" s="28">
        <f>IFERROR((inputs!$G$8/100) *'master data '!J54 * inputs!$I$8,0)</f>
        <v>2.1000000000000005</v>
      </c>
      <c r="M55" s="14">
        <f>IFERROR((inputs!$G$10/100) *'master data '!K54 * inputs!$I$10,0)</f>
        <v>6.6000000000000005</v>
      </c>
      <c r="N55" s="14">
        <f>IFERROR((inputs!$G$11/100) *'master data '!L54 * inputs!$I$11,0)</f>
        <v>28.8</v>
      </c>
      <c r="O55" s="28">
        <f>IFERROR((inputs!$B$15/100) *'master data '!M54 * inputs!$D$15,0)</f>
        <v>15</v>
      </c>
      <c r="P55" s="28">
        <f>IFERROR((inputs!$B$9/100) *'master data '!N54 * inputs!$D$9,0)</f>
        <v>7.5</v>
      </c>
      <c r="Q55" s="28">
        <f>IFERROR((inputs!$G$5/100) *'master data '!O54 * inputs!$I$5,0)</f>
        <v>5.88</v>
      </c>
      <c r="R55" s="28">
        <f>IFERROR((inputs!$B$10/100) *'master data '!P54 * inputs!$D$10,0)</f>
        <v>2.15</v>
      </c>
      <c r="S55" s="28">
        <f>IFERROR((inputs!$B$11/100) *'master data '!Q54 * inputs!$D$11,0)</f>
        <v>2.25</v>
      </c>
      <c r="T55" s="28">
        <f>IFERROR((inputs!$B$12/100) *'master data '!R54 * inputs!$D$12,0)</f>
        <v>2.1</v>
      </c>
      <c r="U55" s="28">
        <f>IFERROR((inputs!$B$13/100) *'master data '!S54 * inputs!$D$13,0)</f>
        <v>2</v>
      </c>
      <c r="V55" s="28">
        <f>IFERROR((inputs!$B$14/100) *'master data '!T54 * inputs!$D$14,0)</f>
        <v>1.95</v>
      </c>
      <c r="W55" s="28">
        <f>IFERROR((#REF!/100) *'master data '!U54 *#REF!,0)</f>
        <v>0</v>
      </c>
      <c r="X55" s="28">
        <f>IFERROR((#REF!/100) *'master data '!W54 *#REF!,0)</f>
        <v>0</v>
      </c>
      <c r="Y55" s="28">
        <f>IFERROR((#REF!/100) *'master data '!X54 *#REF!,0)</f>
        <v>0</v>
      </c>
      <c r="Z55" s="28">
        <f>IFERROR((#REF!/100) *'master data '!V54 *#REF!,0)</f>
        <v>0</v>
      </c>
      <c r="AA55" s="28">
        <f>IFERROR((#REF!/100) *'master data '!Y54 *#REF!,0)</f>
        <v>0</v>
      </c>
      <c r="AB55" s="29">
        <f t="shared" si="3"/>
        <v>116.505</v>
      </c>
      <c r="AC55" s="9">
        <f t="shared" si="7"/>
        <v>16.643571428571427</v>
      </c>
      <c r="AD55" s="10">
        <f t="shared" si="11"/>
        <v>11.643571428571427</v>
      </c>
      <c r="AE55" s="10" t="s">
        <v>65</v>
      </c>
      <c r="AF55" s="11">
        <f t="shared" si="5"/>
        <v>332.87142857142851</v>
      </c>
      <c r="AG55" s="34">
        <f t="shared" si="12"/>
        <v>6.6435714285714269</v>
      </c>
      <c r="AH55" s="8"/>
      <c r="AI55" s="11">
        <f t="shared" si="13"/>
        <v>166.43571428571425</v>
      </c>
    </row>
    <row r="56" spans="1:35" ht="28.8" outlineLevel="1" x14ac:dyDescent="0.3">
      <c r="A56" s="13" t="s">
        <v>89</v>
      </c>
      <c r="B56" s="13" t="s">
        <v>87</v>
      </c>
      <c r="C56" s="8" t="s">
        <v>65</v>
      </c>
      <c r="D56" s="13">
        <v>1.5</v>
      </c>
      <c r="E56" s="13">
        <v>3</v>
      </c>
      <c r="F56" s="13"/>
      <c r="G56" s="33">
        <f>IFERROR((inputs!$B$5/100) *'master data '!E55 * inputs!$D$5,0)</f>
        <v>1.7</v>
      </c>
      <c r="H56" s="33">
        <f>IFERROR((inputs!$B$6/100) *'master data '!F55 * inputs!$D$6,0)</f>
        <v>0.84</v>
      </c>
      <c r="I56" s="33">
        <f>IFERROR((inputs!$B$7/100) *'master data '!G55 * inputs!$D$7,0)</f>
        <v>0.84</v>
      </c>
      <c r="J56" s="33">
        <f>IFERROR((inputs!$G$6/100) *'master data '!H55 * inputs!$I$6,0)</f>
        <v>1.68</v>
      </c>
      <c r="K56" s="33">
        <f>IFERROR((inputs!$G$7/100) *'master data '!I55 * inputs!$I$7,0)</f>
        <v>4.2</v>
      </c>
      <c r="L56" s="28">
        <f>IFERROR((inputs!$G$8/100) *'master data '!J55 * inputs!$I$8,0)</f>
        <v>0.84</v>
      </c>
      <c r="M56" s="14">
        <f>IFERROR((inputs!$G$10/100) *'master data '!K55 * inputs!$I$10,0)</f>
        <v>2.2000000000000002</v>
      </c>
      <c r="N56" s="14">
        <f>IFERROR((inputs!$G$11/100) *'master data '!L55 * inputs!$I$11,0)</f>
        <v>8.8000000000000007</v>
      </c>
      <c r="O56" s="28">
        <f>IFERROR((inputs!$B$15/100) *'master data '!M55 * inputs!$D$15,0)</f>
        <v>4.5</v>
      </c>
      <c r="P56" s="28">
        <f>IFERROR((inputs!$B$9/100) *'master data '!N55 * inputs!$D$9,0)</f>
        <v>2.25</v>
      </c>
      <c r="Q56" s="28">
        <f>IFERROR((inputs!$G$5/100) *'master data '!O55 * inputs!$I$5,0)</f>
        <v>1.47</v>
      </c>
      <c r="R56" s="28">
        <f>IFERROR((inputs!$B$10/100) *'master data '!P55 * inputs!$D$10,0)</f>
        <v>0.47499999999999998</v>
      </c>
      <c r="S56" s="28">
        <f>IFERROR((inputs!$B$11/100) *'master data '!Q55 * inputs!$D$11,0)</f>
        <v>0.49</v>
      </c>
      <c r="T56" s="28">
        <f>IFERROR((inputs!$B$12/100) *'master data '!R55 * inputs!$D$12,0)</f>
        <v>0.5</v>
      </c>
      <c r="U56" s="28">
        <f>IFERROR((inputs!$B$13/100) *'master data '!S55 * inputs!$D$13,0)</f>
        <v>0.47499999999999998</v>
      </c>
      <c r="V56" s="28">
        <f>IFERROR((inputs!$B$14/100) *'master data '!T55 * inputs!$D$14,0)</f>
        <v>0.45</v>
      </c>
      <c r="W56" s="28">
        <f>IFERROR((#REF!/100) *'master data '!U55 *#REF!,0)</f>
        <v>0</v>
      </c>
      <c r="X56" s="28">
        <f>IFERROR((#REF!/100) *'master data '!W55 *#REF!,0)</f>
        <v>0</v>
      </c>
      <c r="Y56" s="28">
        <f>IFERROR((#REF!/100) *'master data '!X55 *#REF!,0)</f>
        <v>0</v>
      </c>
      <c r="Z56" s="28">
        <f>IFERROR((#REF!/100) *'master data '!V55 *#REF!,0)</f>
        <v>0</v>
      </c>
      <c r="AA56" s="28">
        <f>IFERROR((#REF!/100) *'master data '!Y55 *#REF!,0)</f>
        <v>0</v>
      </c>
      <c r="AB56" s="29">
        <f t="shared" si="3"/>
        <v>31.71</v>
      </c>
      <c r="AC56" s="9">
        <f t="shared" si="7"/>
        <v>4.53</v>
      </c>
      <c r="AD56" s="10">
        <f t="shared" si="11"/>
        <v>3.0300000000000002</v>
      </c>
      <c r="AE56" s="10" t="s">
        <v>65</v>
      </c>
      <c r="AF56" s="11">
        <f t="shared" si="5"/>
        <v>302</v>
      </c>
      <c r="AG56" s="34">
        <f t="shared" si="12"/>
        <v>1.5300000000000002</v>
      </c>
      <c r="AH56" s="8"/>
      <c r="AI56" s="11">
        <f t="shared" si="13"/>
        <v>151</v>
      </c>
    </row>
    <row r="57" spans="1:35" ht="28.8" outlineLevel="1" x14ac:dyDescent="0.3">
      <c r="A57" s="13" t="s">
        <v>90</v>
      </c>
      <c r="B57" s="13" t="s">
        <v>87</v>
      </c>
      <c r="C57" s="8" t="s">
        <v>65</v>
      </c>
      <c r="D57" s="13">
        <v>0.5</v>
      </c>
      <c r="E57" s="13">
        <v>1</v>
      </c>
      <c r="F57" s="13"/>
      <c r="G57" s="33">
        <f>IFERROR((inputs!$B$5/100) *'master data '!E56 * inputs!$D$5,0)</f>
        <v>0.6</v>
      </c>
      <c r="H57" s="33">
        <f>IFERROR((inputs!$B$6/100) *'master data '!F56 * inputs!$D$6,0)</f>
        <v>0.21</v>
      </c>
      <c r="I57" s="33">
        <f>IFERROR((inputs!$B$7/100) *'master data '!G56 * inputs!$D$7,0)</f>
        <v>0.42</v>
      </c>
      <c r="J57" s="33">
        <f>IFERROR((inputs!$G$6/100) *'master data '!H56 * inputs!$I$6,0)</f>
        <v>0.63</v>
      </c>
      <c r="K57" s="33">
        <f>IFERROR((inputs!$G$7/100) *'master data '!I56 * inputs!$I$7,0)</f>
        <v>0.70000000000000007</v>
      </c>
      <c r="L57" s="28">
        <f>IFERROR((inputs!$G$8/100) *'master data '!J56 * inputs!$I$8,0)</f>
        <v>0.14000000000000001</v>
      </c>
      <c r="M57" s="14">
        <f>IFERROR((inputs!$G$10/100) *'master data '!K56 * inputs!$I$10,0)</f>
        <v>1.32</v>
      </c>
      <c r="N57" s="14">
        <f>IFERROR((inputs!$G$11/100) *'master data '!L56 * inputs!$I$11,0)</f>
        <v>2.4</v>
      </c>
      <c r="O57" s="28">
        <f>IFERROR((inputs!$B$15/100) *'master data '!M56 * inputs!$D$15,0)</f>
        <v>1.75</v>
      </c>
      <c r="P57" s="28">
        <f>IFERROR((inputs!$B$9/100) *'master data '!N56 * inputs!$D$9,0)</f>
        <v>0.75</v>
      </c>
      <c r="Q57" s="28">
        <f>IFERROR((inputs!$G$5/100) *'master data '!O56 * inputs!$I$5,0)</f>
        <v>0.48999999999999994</v>
      </c>
      <c r="R57" s="28">
        <f>IFERROR((inputs!$B$10/100) *'master data '!P56 * inputs!$D$10,0)</f>
        <v>0.17499999999999999</v>
      </c>
      <c r="S57" s="28">
        <f>IFERROR((inputs!$B$11/100) *'master data '!Q56 * inputs!$D$11,0)</f>
        <v>0.185</v>
      </c>
      <c r="T57" s="28">
        <f>IFERROR((inputs!$B$12/100) *'master data '!R56 * inputs!$D$12,0)</f>
        <v>0.17</v>
      </c>
      <c r="U57" s="28">
        <f>IFERROR((inputs!$B$13/100) *'master data '!S56 * inputs!$D$13,0)</f>
        <v>0.16</v>
      </c>
      <c r="V57" s="28">
        <f>IFERROR((inputs!$B$14/100) *'master data '!T56 * inputs!$D$14,0)</f>
        <v>0.15</v>
      </c>
      <c r="W57" s="28">
        <f>IFERROR((#REF!/100) *'master data '!U56 *#REF!,0)</f>
        <v>0</v>
      </c>
      <c r="X57" s="28">
        <f>IFERROR((#REF!/100) *'master data '!W56 *#REF!,0)</f>
        <v>0</v>
      </c>
      <c r="Y57" s="28">
        <f>IFERROR((#REF!/100) *'master data '!X56 *#REF!,0)</f>
        <v>0</v>
      </c>
      <c r="Z57" s="28">
        <f>IFERROR((#REF!/100) *'master data '!V56 *#REF!,0)</f>
        <v>0</v>
      </c>
      <c r="AA57" s="28">
        <f>IFERROR((#REF!/100) *'master data '!Y56 *#REF!,0)</f>
        <v>0</v>
      </c>
      <c r="AB57" s="29">
        <f t="shared" si="3"/>
        <v>10.250000000000002</v>
      </c>
      <c r="AC57" s="9">
        <f t="shared" si="7"/>
        <v>1.4642857142857146</v>
      </c>
      <c r="AD57" s="10">
        <f t="shared" si="11"/>
        <v>0.96428571428571463</v>
      </c>
      <c r="AE57" s="10" t="s">
        <v>65</v>
      </c>
      <c r="AF57" s="11">
        <f t="shared" si="5"/>
        <v>292.85714285714295</v>
      </c>
      <c r="AG57" s="34">
        <f t="shared" si="12"/>
        <v>0.46428571428571463</v>
      </c>
      <c r="AH57" s="8"/>
      <c r="AI57" s="11">
        <f t="shared" si="13"/>
        <v>146.42857142857147</v>
      </c>
    </row>
    <row r="58" spans="1:35" ht="28.8" outlineLevel="1" x14ac:dyDescent="0.3">
      <c r="A58" s="13" t="s">
        <v>91</v>
      </c>
      <c r="B58" s="13" t="s">
        <v>87</v>
      </c>
      <c r="C58" s="8" t="s">
        <v>65</v>
      </c>
      <c r="D58" s="13">
        <v>1.5</v>
      </c>
      <c r="E58" s="13">
        <v>3</v>
      </c>
      <c r="F58" s="13"/>
      <c r="G58" s="33">
        <f>IFERROR((inputs!$B$5/100) *'master data '!E57 * inputs!$D$5,0)</f>
        <v>1.3</v>
      </c>
      <c r="H58" s="33">
        <f>IFERROR((inputs!$B$6/100) *'master data '!F57 * inputs!$D$6,0)</f>
        <v>1.5749999999999997</v>
      </c>
      <c r="I58" s="33">
        <f>IFERROR((inputs!$B$7/100) *'master data '!G57 * inputs!$D$7,0)</f>
        <v>2.2400000000000002</v>
      </c>
      <c r="J58" s="33">
        <f>IFERROR((inputs!$G$6/100) *'master data '!H57 * inputs!$I$6,0)</f>
        <v>1.26</v>
      </c>
      <c r="K58" s="33">
        <f>IFERROR((inputs!$G$7/100) *'master data '!I57 * inputs!$I$7,0)</f>
        <v>2.8000000000000003</v>
      </c>
      <c r="L58" s="28">
        <f>IFERROR((inputs!$G$8/100) *'master data '!J57 * inputs!$I$8,0)</f>
        <v>0.56000000000000005</v>
      </c>
      <c r="M58" s="14">
        <f>IFERROR((inputs!$G$10/100) *'master data '!K57 * inputs!$I$10,0)</f>
        <v>2.2000000000000002</v>
      </c>
      <c r="N58" s="14">
        <f>IFERROR((inputs!$G$11/100) *'master data '!L57 * inputs!$I$11,0)</f>
        <v>6.4</v>
      </c>
      <c r="O58" s="28">
        <f>IFERROR((inputs!$B$15/100) *'master data '!M57 * inputs!$D$15,0)</f>
        <v>3.75</v>
      </c>
      <c r="P58" s="28">
        <f>IFERROR((inputs!$B$9/100) *'master data '!N57 * inputs!$D$9,0)</f>
        <v>1.75</v>
      </c>
      <c r="Q58" s="28">
        <f>IFERROR((inputs!$G$5/100) *'master data '!O57 * inputs!$I$5,0)</f>
        <v>1.7149999999999999</v>
      </c>
      <c r="R58" s="28">
        <f>IFERROR((inputs!$B$10/100) *'master data '!P57 * inputs!$D$10,0)</f>
        <v>0.375</v>
      </c>
      <c r="S58" s="28">
        <f>IFERROR((inputs!$B$11/100) *'master data '!Q57 * inputs!$D$11,0)</f>
        <v>0.39</v>
      </c>
      <c r="T58" s="28">
        <f>IFERROR((inputs!$B$12/100) *'master data '!R57 * inputs!$D$12,0)</f>
        <v>0.39</v>
      </c>
      <c r="U58" s="28">
        <f>IFERROR((inputs!$B$13/100) *'master data '!S57 * inputs!$D$13,0)</f>
        <v>0.36</v>
      </c>
      <c r="V58" s="28">
        <f>IFERROR((inputs!$B$14/100) *'master data '!T57 * inputs!$D$14,0)</f>
        <v>0.35</v>
      </c>
      <c r="W58" s="28">
        <f>IFERROR((#REF!/100) *'master data '!U57 *#REF!,0)</f>
        <v>0</v>
      </c>
      <c r="X58" s="28">
        <f>IFERROR((#REF!/100) *'master data '!W57 *#REF!,0)</f>
        <v>0</v>
      </c>
      <c r="Y58" s="28">
        <f>IFERROR((#REF!/100) *'master data '!X57 *#REF!,0)</f>
        <v>0</v>
      </c>
      <c r="Z58" s="28">
        <f>IFERROR((#REF!/100) *'master data '!V57 *#REF!,0)</f>
        <v>0</v>
      </c>
      <c r="AA58" s="28">
        <f>IFERROR((#REF!/100) *'master data '!Y57 *#REF!,0)</f>
        <v>0</v>
      </c>
      <c r="AB58" s="29">
        <f t="shared" si="3"/>
        <v>27.415000000000003</v>
      </c>
      <c r="AC58" s="9">
        <f t="shared" si="7"/>
        <v>3.9164285714285718</v>
      </c>
      <c r="AD58" s="10">
        <f t="shared" si="11"/>
        <v>2.4164285714285718</v>
      </c>
      <c r="AE58" s="10" t="s">
        <v>65</v>
      </c>
      <c r="AF58" s="11">
        <f t="shared" si="5"/>
        <v>261.09523809523813</v>
      </c>
      <c r="AG58" s="34">
        <f t="shared" si="12"/>
        <v>0.91642857142857181</v>
      </c>
      <c r="AH58" s="8"/>
      <c r="AI58" s="11">
        <f t="shared" si="13"/>
        <v>130.54761904761907</v>
      </c>
    </row>
    <row r="59" spans="1:35" ht="21" x14ac:dyDescent="0.3">
      <c r="A59" s="19" t="s">
        <v>92</v>
      </c>
      <c r="B59" s="13" t="s">
        <v>64</v>
      </c>
      <c r="C59" s="8" t="s">
        <v>65</v>
      </c>
      <c r="D59" s="13">
        <v>70</v>
      </c>
      <c r="E59" s="13">
        <v>45</v>
      </c>
      <c r="F59" s="13"/>
      <c r="G59" s="33">
        <f>IFERROR((inputs!$B$5/100) *'master data '!E58 * inputs!$D$5,0)</f>
        <v>2.85</v>
      </c>
      <c r="H59" s="33">
        <f>IFERROR((inputs!$B$6/100) *'master data '!F58 * inputs!$D$6,0)</f>
        <v>40.949999999999996</v>
      </c>
      <c r="I59" s="33">
        <f>IFERROR((inputs!$B$7/100) *'master data '!G58 * inputs!$D$7,0)</f>
        <v>1.4000000000000001</v>
      </c>
      <c r="J59" s="33">
        <f>IFERROR((inputs!$G$6/100) *'master data '!H58 * inputs!$I$6,0)</f>
        <v>14.700000000000001</v>
      </c>
      <c r="K59" s="33">
        <f>IFERROR((inputs!$G$7/100) *'master data '!I58 * inputs!$I$7,0)</f>
        <v>107.45</v>
      </c>
      <c r="L59" s="28">
        <f>IFERROR((inputs!$G$8/100) *'master data '!J58 * inputs!$I$8,0)</f>
        <v>29.540000000000006</v>
      </c>
      <c r="M59" s="14">
        <f>IFERROR((inputs!$G$10/100) *'master data '!K58 * inputs!$I$10,0)</f>
        <v>43.56</v>
      </c>
      <c r="N59" s="14">
        <f>IFERROR((inputs!$G$11/100) *'master data '!L58 * inputs!$I$11,0)</f>
        <v>20</v>
      </c>
      <c r="O59" s="28">
        <f>IFERROR((inputs!$B$15/100) *'master data '!M58 * inputs!$D$15,0)</f>
        <v>1.25</v>
      </c>
      <c r="P59" s="28">
        <f>IFERROR((inputs!$B$9/100) *'master data '!N58 * inputs!$D$9,0)</f>
        <v>15</v>
      </c>
      <c r="Q59" s="28">
        <f>IFERROR((inputs!$G$5/100) *'master data '!O58 * inputs!$I$5,0)</f>
        <v>3.4299999999999997</v>
      </c>
      <c r="R59" s="28">
        <f>IFERROR((inputs!$B$10/100) *'master data '!P58 * inputs!$D$10,0)</f>
        <v>0.65</v>
      </c>
      <c r="S59" s="28">
        <f>IFERROR((inputs!$B$11/100) *'master data '!Q58 * inputs!$D$11,0)</f>
        <v>0.7</v>
      </c>
      <c r="T59" s="28">
        <f>IFERROR((inputs!$B$12/100) *'master data '!R58 * inputs!$D$12,0)</f>
        <v>0.55000000000000004</v>
      </c>
      <c r="U59" s="28">
        <f>IFERROR((inputs!$B$13/100) *'master data '!S58 * inputs!$D$13,0)</f>
        <v>0.75</v>
      </c>
      <c r="V59" s="28">
        <f>IFERROR((inputs!$B$14/100) *'master data '!T58 * inputs!$D$14,0)</f>
        <v>0.8</v>
      </c>
      <c r="W59" s="28">
        <f>IFERROR((#REF!/100) *'master data '!U58 *#REF!,0)</f>
        <v>0</v>
      </c>
      <c r="X59" s="28">
        <f>IFERROR((#REF!/100) *'master data '!W58 *#REF!,0)</f>
        <v>0</v>
      </c>
      <c r="Y59" s="28">
        <f>IFERROR((#REF!/100) *'master data '!X58 *#REF!,0)</f>
        <v>0</v>
      </c>
      <c r="Z59" s="28">
        <f>IFERROR((#REF!/100) *'master data '!V58 *#REF!,0)</f>
        <v>0</v>
      </c>
      <c r="AA59" s="28">
        <f>IFERROR((#REF!/100) *'master data '!Y58 *#REF!,0)</f>
        <v>0</v>
      </c>
      <c r="AB59" s="29">
        <f t="shared" si="3"/>
        <v>283.58</v>
      </c>
      <c r="AC59" s="9">
        <f t="shared" si="7"/>
        <v>40.511428571428567</v>
      </c>
      <c r="AD59" s="10">
        <f t="shared" si="11"/>
        <v>-29.488571428571433</v>
      </c>
      <c r="AE59" s="10" t="s">
        <v>65</v>
      </c>
      <c r="AF59" s="11">
        <f t="shared" si="5"/>
        <v>57.873469387755094</v>
      </c>
      <c r="AG59" s="34">
        <f t="shared" si="12"/>
        <v>-4.4885714285714329</v>
      </c>
      <c r="AH59" s="8" t="s">
        <v>65</v>
      </c>
      <c r="AI59" s="11">
        <f t="shared" si="13"/>
        <v>90.025396825396825</v>
      </c>
    </row>
    <row r="60" spans="1:35" outlineLevel="1" x14ac:dyDescent="0.3">
      <c r="A60" s="13" t="s">
        <v>93</v>
      </c>
      <c r="B60" s="13" t="s">
        <v>64</v>
      </c>
      <c r="C60" s="8" t="s">
        <v>65</v>
      </c>
      <c r="D60" s="13">
        <v>20</v>
      </c>
      <c r="E60" s="13">
        <v>8</v>
      </c>
      <c r="F60" s="13"/>
      <c r="G60" s="33">
        <f>IFERROR((inputs!$B$5/100) *'master data '!E59 * inputs!$D$5,0)</f>
        <v>1.56</v>
      </c>
      <c r="H60" s="33">
        <f>IFERROR((inputs!$B$6/100) *'master data '!F59 * inputs!$D$6,0)</f>
        <v>25.199999999999996</v>
      </c>
      <c r="I60" s="33">
        <f>IFERROR((inputs!$B$7/100) *'master data '!G59 * inputs!$D$7,0)</f>
        <v>0.84</v>
      </c>
      <c r="J60" s="33">
        <f>IFERROR((inputs!$G$6/100) *'master data '!H59 * inputs!$I$6,0)</f>
        <v>2.52</v>
      </c>
      <c r="K60" s="33">
        <f>IFERROR((inputs!$G$7/100) *'master data '!I59 * inputs!$I$7,0)</f>
        <v>11.55</v>
      </c>
      <c r="L60" s="28">
        <f>IFERROR((inputs!$G$8/100) *'master data '!J59 * inputs!$I$8,0)</f>
        <v>2.5900000000000003</v>
      </c>
      <c r="M60" s="14">
        <f>IFERROR((inputs!$G$10/100) *'master data '!K59 * inputs!$I$10,0)</f>
        <v>13.640000000000002</v>
      </c>
      <c r="N60" s="14">
        <f>IFERROR((inputs!$G$11/100) *'master data '!L59 * inputs!$I$11,0)</f>
        <v>4.8</v>
      </c>
      <c r="O60" s="28">
        <f>IFERROR((inputs!$B$15/100) *'master data '!M59 * inputs!$D$15,0)</f>
        <v>0.25</v>
      </c>
      <c r="P60" s="28">
        <f>IFERROR((inputs!$B$9/100) *'master data '!N59 * inputs!$D$9,0)</f>
        <v>2.5</v>
      </c>
      <c r="Q60" s="28">
        <f>IFERROR((inputs!$G$5/100) *'master data '!O59 * inputs!$I$5,0)</f>
        <v>0.73499999999999999</v>
      </c>
      <c r="R60" s="28">
        <f>IFERROR((inputs!$B$10/100) *'master data '!P59 * inputs!$D$10,0)</f>
        <v>0.17499999999999999</v>
      </c>
      <c r="S60" s="28">
        <f>IFERROR((inputs!$B$11/100) *'master data '!Q59 * inputs!$D$11,0)</f>
        <v>0.19</v>
      </c>
      <c r="T60" s="28">
        <f>IFERROR((inputs!$B$12/100) *'master data '!R59 * inputs!$D$12,0)</f>
        <v>0.16</v>
      </c>
      <c r="U60" s="28">
        <f>IFERROR((inputs!$B$13/100) *'master data '!S59 * inputs!$D$13,0)</f>
        <v>0.22500000000000001</v>
      </c>
      <c r="V60" s="28">
        <f>IFERROR((inputs!$B$14/100) *'master data '!T59 * inputs!$D$14,0)</f>
        <v>0.24</v>
      </c>
      <c r="W60" s="28">
        <f>IFERROR((#REF!/100) *'master data '!U59 *#REF!,0)</f>
        <v>0</v>
      </c>
      <c r="X60" s="28">
        <f>IFERROR((#REF!/100) *'master data '!W59 *#REF!,0)</f>
        <v>0</v>
      </c>
      <c r="Y60" s="28">
        <f>IFERROR((#REF!/100) *'master data '!X59 *#REF!,0)</f>
        <v>0</v>
      </c>
      <c r="Z60" s="28">
        <f>IFERROR((#REF!/100) *'master data '!V59 *#REF!,0)</f>
        <v>0</v>
      </c>
      <c r="AA60" s="28">
        <f>IFERROR((#REF!/100) *'master data '!Y59 *#REF!,0)</f>
        <v>0</v>
      </c>
      <c r="AB60" s="29">
        <f t="shared" si="3"/>
        <v>67.174999999999969</v>
      </c>
      <c r="AC60" s="9">
        <f t="shared" si="7"/>
        <v>9.5964285714285662</v>
      </c>
      <c r="AD60" s="10">
        <f t="shared" si="11"/>
        <v>-10.403571428571434</v>
      </c>
      <c r="AE60" s="10" t="s">
        <v>65</v>
      </c>
      <c r="AF60" s="11">
        <f t="shared" si="5"/>
        <v>47.982142857142826</v>
      </c>
      <c r="AG60" s="34">
        <f t="shared" si="12"/>
        <v>1.5964285714285662</v>
      </c>
      <c r="AH60" s="8"/>
      <c r="AI60" s="11">
        <f t="shared" si="13"/>
        <v>119.95535714285708</v>
      </c>
    </row>
    <row r="61" spans="1:35" outlineLevel="1" x14ac:dyDescent="0.3">
      <c r="A61" s="13" t="s">
        <v>94</v>
      </c>
      <c r="B61" s="13" t="s">
        <v>64</v>
      </c>
      <c r="C61" s="8" t="s">
        <v>65</v>
      </c>
      <c r="D61" s="13">
        <v>10</v>
      </c>
      <c r="E61" s="13">
        <v>18</v>
      </c>
      <c r="F61" s="13"/>
      <c r="G61" s="33">
        <f>IFERROR((inputs!$B$5/100) *'master data '!E60 * inputs!$D$5,0)</f>
        <v>0.62</v>
      </c>
      <c r="H61" s="33">
        <f>IFERROR((inputs!$B$6/100) *'master data '!F60 * inputs!$D$6,0)</f>
        <v>11.55</v>
      </c>
      <c r="I61" s="33">
        <f>IFERROR((inputs!$B$7/100) *'master data '!G60 * inputs!$D$7,0)</f>
        <v>0.35000000000000003</v>
      </c>
      <c r="J61" s="33">
        <f>IFERROR((inputs!$G$6/100) *'master data '!H60 * inputs!$I$6,0)</f>
        <v>4.62</v>
      </c>
      <c r="K61" s="33">
        <f>IFERROR((inputs!$G$7/100) *'master data '!I60 * inputs!$I$7,0)</f>
        <v>8.0500000000000007</v>
      </c>
      <c r="L61" s="28">
        <f>IFERROR((inputs!$G$8/100) *'master data '!J60 * inputs!$I$8,0)</f>
        <v>5.25</v>
      </c>
      <c r="M61" s="14">
        <f>IFERROR((inputs!$G$10/100) *'master data '!K60 * inputs!$I$10,0)</f>
        <v>16.28</v>
      </c>
      <c r="N61" s="14">
        <f>IFERROR((inputs!$G$11/100) *'master data '!L60 * inputs!$I$11,0)</f>
        <v>7.2</v>
      </c>
      <c r="O61" s="28">
        <f>IFERROR((inputs!$B$15/100) *'master data '!M60 * inputs!$D$15,0)</f>
        <v>0.25</v>
      </c>
      <c r="P61" s="28">
        <f>IFERROR((inputs!$B$9/100) *'master data '!N60 * inputs!$D$9,0)</f>
        <v>5</v>
      </c>
      <c r="Q61" s="28">
        <f>IFERROR((inputs!$G$5/100) *'master data '!O60 * inputs!$I$5,0)</f>
        <v>0.97999999999999987</v>
      </c>
      <c r="R61" s="28">
        <f>IFERROR((inputs!$B$10/100) *'master data '!P60 * inputs!$D$10,0)</f>
        <v>0.2</v>
      </c>
      <c r="S61" s="28">
        <f>IFERROR((inputs!$B$11/100) *'master data '!Q60 * inputs!$D$11,0)</f>
        <v>0.21</v>
      </c>
      <c r="T61" s="28">
        <f>IFERROR((inputs!$B$12/100) *'master data '!R60 * inputs!$D$12,0)</f>
        <v>0.18</v>
      </c>
      <c r="U61" s="28">
        <f>IFERROR((inputs!$B$13/100) *'master data '!S60 * inputs!$D$13,0)</f>
        <v>0.27500000000000002</v>
      </c>
      <c r="V61" s="28">
        <f>IFERROR((inputs!$B$14/100) *'master data '!T60 * inputs!$D$14,0)</f>
        <v>0.28999999999999998</v>
      </c>
      <c r="W61" s="28">
        <f>IFERROR((#REF!/100) *'master data '!U60 *#REF!,0)</f>
        <v>0</v>
      </c>
      <c r="X61" s="28">
        <f>IFERROR((#REF!/100) *'master data '!W60 *#REF!,0)</f>
        <v>0</v>
      </c>
      <c r="Y61" s="28">
        <f>IFERROR((#REF!/100) *'master data '!X60 *#REF!,0)</f>
        <v>0</v>
      </c>
      <c r="Z61" s="28">
        <f>IFERROR((#REF!/100) *'master data '!V60 *#REF!,0)</f>
        <v>0</v>
      </c>
      <c r="AA61" s="28">
        <f>IFERROR((#REF!/100) *'master data '!Y60 *#REF!,0)</f>
        <v>0</v>
      </c>
      <c r="AB61" s="29">
        <f t="shared" si="3"/>
        <v>61.305</v>
      </c>
      <c r="AC61" s="9">
        <f t="shared" si="7"/>
        <v>8.7578571428571426</v>
      </c>
      <c r="AD61" s="10">
        <f t="shared" si="11"/>
        <v>-1.2421428571428574</v>
      </c>
      <c r="AE61" s="10" t="s">
        <v>65</v>
      </c>
      <c r="AF61" s="11">
        <f t="shared" si="5"/>
        <v>87.578571428571422</v>
      </c>
      <c r="AG61" s="34">
        <f t="shared" si="12"/>
        <v>-9.2421428571428574</v>
      </c>
      <c r="AH61" s="8"/>
      <c r="AI61" s="11">
        <f t="shared" si="13"/>
        <v>48.654761904761898</v>
      </c>
    </row>
    <row r="62" spans="1:35" outlineLevel="1" x14ac:dyDescent="0.3">
      <c r="A62" s="13" t="s">
        <v>95</v>
      </c>
      <c r="B62" s="14" t="s">
        <v>96</v>
      </c>
      <c r="C62" s="8" t="s">
        <v>65</v>
      </c>
      <c r="D62" s="13">
        <v>1.6</v>
      </c>
      <c r="E62" s="13">
        <v>2</v>
      </c>
      <c r="F62" s="13"/>
      <c r="G62" s="33">
        <f>IFERROR((inputs!$B$5/100) *'master data '!E61 * inputs!$D$5,0)</f>
        <v>0.49</v>
      </c>
      <c r="H62" s="33">
        <f>IFERROR((inputs!$B$6/100) *'master data '!F61 * inputs!$D$6,0)</f>
        <v>0.52500000000000013</v>
      </c>
      <c r="I62" s="33">
        <f>IFERROR((inputs!$B$7/100) *'master data '!G61 * inputs!$D$7,0)</f>
        <v>2.8000000000000001E-2</v>
      </c>
      <c r="J62" s="33">
        <f>IFERROR((inputs!$G$6/100) *'master data '!H61 * inputs!$I$6,0)</f>
        <v>0.21</v>
      </c>
      <c r="K62" s="33">
        <f>IFERROR((inputs!$G$7/100) *'master data '!I61 * inputs!$I$7,0)</f>
        <v>62.300000000000011</v>
      </c>
      <c r="L62" s="28">
        <f>IFERROR((inputs!$G$8/100) *'master data '!J61 * inputs!$I$8,0)</f>
        <v>15.96</v>
      </c>
      <c r="M62" s="14">
        <f>IFERROR((inputs!$G$10/100) *'master data '!K61 * inputs!$I$10,0)</f>
        <v>0.44000000000000006</v>
      </c>
      <c r="N62" s="14">
        <f>IFERROR((inputs!$G$11/100) *'master data '!L61 * inputs!$I$11,0)</f>
        <v>0.16</v>
      </c>
      <c r="O62" s="28">
        <f>IFERROR((inputs!$B$15/100) *'master data '!M61 * inputs!$D$15,0)</f>
        <v>0.75</v>
      </c>
      <c r="P62" s="28">
        <f>IFERROR((inputs!$B$9/100) *'master data '!N61 * inputs!$D$9,0)</f>
        <v>0.5</v>
      </c>
      <c r="Q62" s="28">
        <f>IFERROR((inputs!$G$5/100) *'master data '!O61 * inputs!$I$5,0)</f>
        <v>9.799999999999999E-2</v>
      </c>
      <c r="R62" s="28">
        <f>IFERROR((inputs!$B$10/100) *'master data '!P61 * inputs!$D$10,0)</f>
        <v>0.05</v>
      </c>
      <c r="S62" s="28">
        <f>IFERROR((inputs!$B$11/100) *'master data '!Q61 * inputs!$D$11,0)</f>
        <v>5.5E-2</v>
      </c>
      <c r="T62" s="28">
        <f>IFERROR((inputs!$B$12/100) *'master data '!R61 * inputs!$D$12,0)</f>
        <v>0.04</v>
      </c>
      <c r="U62" s="28">
        <f>IFERROR((inputs!$B$13/100) *'master data '!S61 * inputs!$D$13,0)</f>
        <v>0.05</v>
      </c>
      <c r="V62" s="28">
        <f>IFERROR((inputs!$B$14/100) *'master data '!T61 * inputs!$D$14,0)</f>
        <v>0.06</v>
      </c>
      <c r="W62" s="28">
        <f>IFERROR((#REF!/100) *'master data '!U61 *#REF!,0)</f>
        <v>0</v>
      </c>
      <c r="X62" s="28">
        <f>IFERROR((#REF!/100) *'master data '!W61 *#REF!,0)</f>
        <v>0</v>
      </c>
      <c r="Y62" s="28">
        <f>IFERROR((#REF!/100) *'master data '!X61 *#REF!,0)</f>
        <v>0</v>
      </c>
      <c r="Z62" s="28">
        <f>IFERROR((#REF!/100) *'master data '!V61 *#REF!,0)</f>
        <v>0</v>
      </c>
      <c r="AA62" s="28">
        <f>IFERROR((#REF!/100) *'master data '!Y61 *#REF!,0)</f>
        <v>0</v>
      </c>
      <c r="AB62" s="29">
        <f t="shared" si="3"/>
        <v>81.716000000000008</v>
      </c>
      <c r="AC62" s="9">
        <f t="shared" si="7"/>
        <v>11.673714285714286</v>
      </c>
      <c r="AD62" s="10">
        <f t="shared" si="11"/>
        <v>10.073714285714287</v>
      </c>
      <c r="AE62" s="10" t="s">
        <v>65</v>
      </c>
      <c r="AF62" s="11">
        <f t="shared" si="5"/>
        <v>729.60714285714289</v>
      </c>
      <c r="AG62" s="34">
        <f t="shared" si="12"/>
        <v>9.6737142857142864</v>
      </c>
      <c r="AH62" s="8"/>
      <c r="AI62" s="11">
        <f t="shared" si="13"/>
        <v>583.68571428571431</v>
      </c>
    </row>
    <row r="63" spans="1:35" ht="28.8" outlineLevel="1" x14ac:dyDescent="0.3">
      <c r="A63" s="13" t="s">
        <v>97</v>
      </c>
      <c r="B63" s="14" t="s">
        <v>98</v>
      </c>
      <c r="C63" s="8" t="s">
        <v>65</v>
      </c>
      <c r="D63" s="13">
        <v>0.25</v>
      </c>
      <c r="E63" s="13">
        <v>1</v>
      </c>
      <c r="F63" s="13"/>
      <c r="G63" s="33">
        <f>IFERROR((inputs!$B$5/100) *'master data '!E62 * inputs!$D$5,0)</f>
        <v>0</v>
      </c>
      <c r="H63" s="33">
        <f>IFERROR((inputs!$B$6/100) *'master data '!F62 * inputs!$D$6,0)</f>
        <v>0</v>
      </c>
      <c r="I63" s="33">
        <f>IFERROR((inputs!$B$7/100) *'master data '!G62 * inputs!$D$7,0)</f>
        <v>0</v>
      </c>
      <c r="J63" s="33">
        <f>IFERROR((inputs!$G$6/100) *'master data '!H62 * inputs!$I$6,0)</f>
        <v>0</v>
      </c>
      <c r="K63" s="33">
        <f>IFERROR((inputs!$G$7/100) *'master data '!I62 * inputs!$I$7,0)</f>
        <v>0</v>
      </c>
      <c r="L63" s="28">
        <f>IFERROR((inputs!$G$8/100) *'master data '!J62 * inputs!$I$8,0)</f>
        <v>0</v>
      </c>
      <c r="M63" s="14">
        <f>IFERROR((inputs!$G$10/100) *'master data '!K62 * inputs!$I$10,0)</f>
        <v>0.44000000000000006</v>
      </c>
      <c r="N63" s="14">
        <f>IFERROR((inputs!$G$11/100) *'master data '!L62 * inputs!$I$11,0)</f>
        <v>0.56000000000000005</v>
      </c>
      <c r="O63" s="28">
        <f>IFERROR((inputs!$B$15/100) *'master data '!M62 * inputs!$D$15,0)</f>
        <v>0</v>
      </c>
      <c r="P63" s="28">
        <f>IFERROR((inputs!$B$9/100) *'master data '!N62 * inputs!$D$9,0)</f>
        <v>0</v>
      </c>
      <c r="Q63" s="28">
        <f>IFERROR((inputs!$G$5/100) *'master data '!O62 * inputs!$I$5,0)</f>
        <v>0</v>
      </c>
      <c r="R63" s="28">
        <f>IFERROR((inputs!$B$10/100) *'master data '!P62 * inputs!$D$10,0)</f>
        <v>0</v>
      </c>
      <c r="S63" s="28">
        <f>IFERROR((inputs!$B$11/100) *'master data '!Q62 * inputs!$D$11,0)</f>
        <v>0</v>
      </c>
      <c r="T63" s="28">
        <f>IFERROR((inputs!$B$12/100) *'master data '!R62 * inputs!$D$12,0)</f>
        <v>0</v>
      </c>
      <c r="U63" s="28">
        <f>IFERROR((inputs!$B$13/100) *'master data '!S62 * inputs!$D$13,0)</f>
        <v>0</v>
      </c>
      <c r="V63" s="28">
        <f>IFERROR((inputs!$B$14/100) *'master data '!T62 * inputs!$D$14,0)</f>
        <v>0</v>
      </c>
      <c r="W63" s="28">
        <f>IFERROR((#REF!/100) *'master data '!U62 *#REF!,0)</f>
        <v>0</v>
      </c>
      <c r="X63" s="28">
        <f>IFERROR((#REF!/100) *'master data '!W62 *#REF!,0)</f>
        <v>0</v>
      </c>
      <c r="Y63" s="28">
        <f>IFERROR((#REF!/100) *'master data '!X62 *#REF!,0)</f>
        <v>0</v>
      </c>
      <c r="Z63" s="28">
        <f>IFERROR((#REF!/100) *'master data '!V62 *#REF!,0)</f>
        <v>0</v>
      </c>
      <c r="AA63" s="28">
        <f>IFERROR((#REF!/100) *'master data '!Y62 *#REF!,0)</f>
        <v>0</v>
      </c>
      <c r="AB63" s="29">
        <f t="shared" si="3"/>
        <v>1</v>
      </c>
      <c r="AC63" s="9">
        <f t="shared" si="7"/>
        <v>0.14285714285714285</v>
      </c>
      <c r="AD63" s="10">
        <f t="shared" si="11"/>
        <v>-0.10714285714285715</v>
      </c>
      <c r="AE63" s="10" t="s">
        <v>65</v>
      </c>
      <c r="AF63" s="11">
        <f t="shared" si="5"/>
        <v>57.142857142857139</v>
      </c>
      <c r="AG63" s="34">
        <f t="shared" si="12"/>
        <v>-0.85714285714285721</v>
      </c>
      <c r="AH63" s="8"/>
      <c r="AI63" s="11">
        <f t="shared" si="13"/>
        <v>14.285714285714285</v>
      </c>
    </row>
    <row r="64" spans="1:35" outlineLevel="1" x14ac:dyDescent="0.3">
      <c r="A64" s="13" t="s">
        <v>99</v>
      </c>
      <c r="B64" s="14" t="s">
        <v>100</v>
      </c>
      <c r="C64" s="8" t="s">
        <v>65</v>
      </c>
      <c r="D64" s="13">
        <v>12</v>
      </c>
      <c r="E64" s="13">
        <v>10</v>
      </c>
      <c r="F64" s="13"/>
      <c r="G64" s="33">
        <f>IFERROR((inputs!$B$5/100) *'master data '!E63 * inputs!$D$5,0)</f>
        <v>7.0000000000000007E-2</v>
      </c>
      <c r="H64" s="33">
        <f>IFERROR((inputs!$B$6/100) *'master data '!F63 * inputs!$D$6,0)</f>
        <v>1.0500000000000003</v>
      </c>
      <c r="I64" s="33">
        <f>IFERROR((inputs!$B$7/100) *'master data '!G63 * inputs!$D$7,0)</f>
        <v>9.8000000000000018E-2</v>
      </c>
      <c r="J64" s="33">
        <f>IFERROR((inputs!$G$6/100) *'master data '!H63 * inputs!$I$6,0)</f>
        <v>5.25</v>
      </c>
      <c r="K64" s="33">
        <f>IFERROR((inputs!$G$7/100) *'master data '!I63 * inputs!$I$7,0)</f>
        <v>20.3</v>
      </c>
      <c r="L64" s="28">
        <f>IFERROR((inputs!$G$8/100) *'master data '!J63 * inputs!$I$8,0)</f>
        <v>4.55</v>
      </c>
      <c r="M64" s="14">
        <f>IFERROR((inputs!$G$10/100) *'master data '!K63 * inputs!$I$10,0)</f>
        <v>5.7200000000000006</v>
      </c>
      <c r="N64" s="14">
        <f>IFERROR((inputs!$G$11/100) *'master data '!L63 * inputs!$I$11,0)</f>
        <v>3.6</v>
      </c>
      <c r="O64" s="28">
        <f>IFERROR((inputs!$B$15/100) *'master data '!M63 * inputs!$D$15,0)</f>
        <v>0.25</v>
      </c>
      <c r="P64" s="28">
        <f>IFERROR((inputs!$B$9/100) *'master data '!N63 * inputs!$D$9,0)</f>
        <v>7.5</v>
      </c>
      <c r="Q64" s="28">
        <f>IFERROR((inputs!$G$5/100) *'master data '!O63 * inputs!$I$5,0)</f>
        <v>0.97999999999999987</v>
      </c>
      <c r="R64" s="28">
        <f>IFERROR((inputs!$B$10/100) *'master data '!P63 * inputs!$D$10,0)</f>
        <v>0.22500000000000001</v>
      </c>
      <c r="S64" s="28">
        <f>IFERROR((inputs!$B$11/100) *'master data '!Q63 * inputs!$D$11,0)</f>
        <v>0.24</v>
      </c>
      <c r="T64" s="28">
        <f>IFERROR((inputs!$B$12/100) *'master data '!R63 * inputs!$D$12,0)</f>
        <v>0.2</v>
      </c>
      <c r="U64" s="28">
        <f>IFERROR((inputs!$B$13/100) *'master data '!S63 * inputs!$D$13,0)</f>
        <v>0.32500000000000001</v>
      </c>
      <c r="V64" s="28">
        <f>IFERROR((inputs!$B$14/100) *'master data '!T63 * inputs!$D$14,0)</f>
        <v>0.35</v>
      </c>
      <c r="W64" s="28">
        <f>IFERROR((#REF!/100) *'master data '!U63 *#REF!,0)</f>
        <v>0</v>
      </c>
      <c r="X64" s="28">
        <f>IFERROR((#REF!/100) *'master data '!W63 *#REF!,0)</f>
        <v>0</v>
      </c>
      <c r="Y64" s="28">
        <f>IFERROR((#REF!/100) *'master data '!X63 *#REF!,0)</f>
        <v>0</v>
      </c>
      <c r="Z64" s="28">
        <f>IFERROR((#REF!/100) *'master data '!V63 *#REF!,0)</f>
        <v>0</v>
      </c>
      <c r="AA64" s="28">
        <f>IFERROR((#REF!/100) *'master data '!Y63 *#REF!,0)</f>
        <v>0</v>
      </c>
      <c r="AB64" s="29">
        <f t="shared" si="3"/>
        <v>50.708000000000013</v>
      </c>
      <c r="AC64" s="9">
        <f t="shared" si="7"/>
        <v>7.2440000000000015</v>
      </c>
      <c r="AD64" s="10">
        <f t="shared" si="11"/>
        <v>-4.7559999999999985</v>
      </c>
      <c r="AE64" s="10" t="s">
        <v>65</v>
      </c>
      <c r="AF64" s="11">
        <f t="shared" si="5"/>
        <v>60.366666666666681</v>
      </c>
      <c r="AG64" s="34">
        <f t="shared" si="12"/>
        <v>-2.7559999999999985</v>
      </c>
      <c r="AH64" s="8"/>
      <c r="AI64" s="11">
        <f t="shared" si="13"/>
        <v>72.440000000000012</v>
      </c>
    </row>
    <row r="65" spans="1:35" outlineLevel="1" x14ac:dyDescent="0.3">
      <c r="A65" s="13" t="s">
        <v>101</v>
      </c>
      <c r="B65" s="14" t="s">
        <v>102</v>
      </c>
      <c r="C65" s="8" t="s">
        <v>65</v>
      </c>
      <c r="D65" s="13">
        <v>0.3</v>
      </c>
      <c r="E65" s="13">
        <v>1</v>
      </c>
      <c r="F65" s="13"/>
      <c r="G65" s="33">
        <f>IFERROR((inputs!$B$5/100) *'master data '!E64 * inputs!$D$5,0)</f>
        <v>0</v>
      </c>
      <c r="H65" s="33">
        <f>IFERROR((inputs!$B$6/100) *'master data '!F64 * inputs!$D$6,0)</f>
        <v>0</v>
      </c>
      <c r="I65" s="33">
        <f>IFERROR((inputs!$B$7/100) *'master data '!G64 * inputs!$D$7,0)</f>
        <v>0</v>
      </c>
      <c r="J65" s="33">
        <f>IFERROR((inputs!$G$6/100) *'master data '!H64 * inputs!$I$6,0)</f>
        <v>0</v>
      </c>
      <c r="K65" s="33">
        <f>IFERROR((inputs!$G$7/100) *'master data '!I64 * inputs!$I$7,0)</f>
        <v>0</v>
      </c>
      <c r="L65" s="28">
        <f>IFERROR((inputs!$G$8/100) *'master data '!J64 * inputs!$I$8,0)</f>
        <v>0</v>
      </c>
      <c r="M65" s="14">
        <f>IFERROR((inputs!$G$10/100) *'master data '!K64 * inputs!$I$10,0)</f>
        <v>0</v>
      </c>
      <c r="N65" s="14">
        <f>IFERROR((inputs!$G$11/100) *'master data '!L64 * inputs!$I$11,0)</f>
        <v>0.64</v>
      </c>
      <c r="O65" s="28">
        <f>IFERROR((inputs!$B$15/100) *'master data '!M64 * inputs!$D$15,0)</f>
        <v>0</v>
      </c>
      <c r="P65" s="28">
        <f>IFERROR((inputs!$B$9/100) *'master data '!N64 * inputs!$D$9,0)</f>
        <v>0</v>
      </c>
      <c r="Q65" s="28">
        <f>IFERROR((inputs!$G$5/100) *'master data '!O64 * inputs!$I$5,0)</f>
        <v>0</v>
      </c>
      <c r="R65" s="28">
        <f>IFERROR((inputs!$B$10/100) *'master data '!P64 * inputs!$D$10,0)</f>
        <v>0</v>
      </c>
      <c r="S65" s="28">
        <f>IFERROR((inputs!$B$11/100) *'master data '!Q64 * inputs!$D$11,0)</f>
        <v>0</v>
      </c>
      <c r="T65" s="28">
        <f>IFERROR((inputs!$B$12/100) *'master data '!R64 * inputs!$D$12,0)</f>
        <v>0</v>
      </c>
      <c r="U65" s="28">
        <f>IFERROR((inputs!$B$13/100) *'master data '!S64 * inputs!$D$13,0)</f>
        <v>0</v>
      </c>
      <c r="V65" s="28">
        <f>IFERROR((inputs!$B$14/100) *'master data '!T64 * inputs!$D$14,0)</f>
        <v>0</v>
      </c>
      <c r="W65" s="28">
        <f>IFERROR((#REF!/100) *'master data '!U64 *#REF!,0)</f>
        <v>0</v>
      </c>
      <c r="X65" s="28">
        <f>IFERROR((#REF!/100) *'master data '!W64 *#REF!,0)</f>
        <v>0</v>
      </c>
      <c r="Y65" s="28">
        <f>IFERROR((#REF!/100) *'master data '!X64 *#REF!,0)</f>
        <v>0</v>
      </c>
      <c r="Z65" s="28">
        <f>IFERROR((#REF!/100) *'master data '!V64 *#REF!,0)</f>
        <v>0</v>
      </c>
      <c r="AA65" s="28">
        <f>IFERROR((#REF!/100) *'master data '!Y64 *#REF!,0)</f>
        <v>0</v>
      </c>
      <c r="AB65" s="29">
        <f t="shared" si="3"/>
        <v>0.64</v>
      </c>
      <c r="AC65" s="9">
        <f t="shared" si="7"/>
        <v>9.1428571428571428E-2</v>
      </c>
      <c r="AD65" s="10">
        <f t="shared" si="11"/>
        <v>-0.20857142857142857</v>
      </c>
      <c r="AE65" s="10" t="s">
        <v>65</v>
      </c>
      <c r="AF65" s="11">
        <f t="shared" si="5"/>
        <v>30.476190476190478</v>
      </c>
      <c r="AG65" s="34">
        <f t="shared" si="12"/>
        <v>-0.90857142857142859</v>
      </c>
      <c r="AH65" s="8"/>
      <c r="AI65" s="11">
        <f t="shared" si="13"/>
        <v>9.1428571428571423</v>
      </c>
    </row>
    <row r="66" spans="1:35" outlineLevel="1" x14ac:dyDescent="0.3">
      <c r="A66" s="13" t="s">
        <v>103</v>
      </c>
      <c r="B66" s="14" t="s">
        <v>104</v>
      </c>
      <c r="C66" s="8"/>
      <c r="D66" s="20">
        <v>0.41736111111111113</v>
      </c>
      <c r="E66" s="20">
        <v>0.1673611111111111</v>
      </c>
      <c r="F66" s="20"/>
      <c r="G66" s="33">
        <f>IFERROR((inputs!$B$5/100) *'master data '!E65 * inputs!$D$5,0)</f>
        <v>2.5</v>
      </c>
      <c r="H66" s="33">
        <f>IFERROR((inputs!$B$6/100) *'master data '!F65 * inputs!$D$6,0)</f>
        <v>21</v>
      </c>
      <c r="I66" s="33">
        <f>IFERROR((inputs!$B$7/100) *'master data '!G65 * inputs!$D$7,0)</f>
        <v>0</v>
      </c>
      <c r="J66" s="33">
        <f>IFERROR((inputs!$G$6/100) *'master data '!H65 * inputs!$I$6,0)</f>
        <v>1.3139583333333333</v>
      </c>
      <c r="K66" s="33">
        <f>IFERROR((inputs!$G$7/100) *'master data '!I65 * inputs!$I$7,0)</f>
        <v>0.15312500000000001</v>
      </c>
      <c r="L66" s="28">
        <f>IFERROR((inputs!$G$8/100) *'master data '!J65 * inputs!$I$8,0)</f>
        <v>5.1446759259259262E-4</v>
      </c>
      <c r="M66" s="14">
        <f>IFERROR((inputs!$G$10/100) *'master data '!K65 * inputs!$I$10,0)</f>
        <v>2.3863888888888889</v>
      </c>
      <c r="N66" s="14">
        <f>IFERROR((inputs!$G$11/100) *'master data '!L65 * inputs!$I$11,0)</f>
        <v>44</v>
      </c>
      <c r="O66" s="28">
        <f>IFERROR((inputs!$B$15/100) *'master data '!M65 * inputs!$D$15,0)</f>
        <v>0.52256944444444442</v>
      </c>
      <c r="P66" s="28">
        <f>IFERROR((inputs!$B$9/100) *'master data '!N65 * inputs!$D$9,0)</f>
        <v>1.5642361111111112</v>
      </c>
      <c r="Q66" s="28">
        <f>IFERROR((inputs!$G$5/100) *'master data '!O65 * inputs!$I$5,0)</f>
        <v>2.0450694444444442</v>
      </c>
      <c r="R66" s="28">
        <f>IFERROR((inputs!$B$10/100) *'master data '!P65 * inputs!$D$10,0)</f>
        <v>2.25</v>
      </c>
      <c r="S66" s="28">
        <f>IFERROR((inputs!$B$11/100) *'master data '!Q65 * inputs!$D$11,0)</f>
        <v>2.2000000000000002</v>
      </c>
      <c r="T66" s="28">
        <f>IFERROR((inputs!$B$12/100) *'master data '!R65 * inputs!$D$12,0)</f>
        <v>2.5</v>
      </c>
      <c r="U66" s="28">
        <f>IFERROR((inputs!$B$13/100) *'master data '!S65 * inputs!$D$13,0)</f>
        <v>3.25</v>
      </c>
      <c r="V66" s="28">
        <f>IFERROR((inputs!$B$14/100) *'master data '!T65 * inputs!$D$14,0)</f>
        <v>2.9</v>
      </c>
      <c r="W66" s="28">
        <f>IFERROR((#REF!/100) *'master data '!U65 *#REF!,0)</f>
        <v>0</v>
      </c>
      <c r="X66" s="28">
        <f>IFERROR((#REF!/100) *'master data '!W65 *#REF!,0)</f>
        <v>0</v>
      </c>
      <c r="Y66" s="28">
        <f>IFERROR((#REF!/100) *'master data '!X65 *#REF!,0)</f>
        <v>0</v>
      </c>
      <c r="Z66" s="28">
        <f>IFERROR((#REF!/100) *'master data '!V65 *#REF!,0)</f>
        <v>0</v>
      </c>
      <c r="AA66" s="28">
        <f>IFERROR((#REF!/100) *'master data '!Y65 *#REF!,0)</f>
        <v>0</v>
      </c>
      <c r="AB66" s="29">
        <f t="shared" si="3"/>
        <v>88.58586168981482</v>
      </c>
      <c r="AC66" s="9">
        <f t="shared" si="7"/>
        <v>12.655123098544975</v>
      </c>
      <c r="AD66" s="10">
        <f t="shared" si="11"/>
        <v>12.237761987433863</v>
      </c>
      <c r="AE66" s="10" t="s">
        <v>65</v>
      </c>
      <c r="AF66" s="11">
        <f t="shared" si="5"/>
        <v>3032.1759171222566</v>
      </c>
      <c r="AG66" s="34">
        <f t="shared" si="12"/>
        <v>12.487761987433863</v>
      </c>
      <c r="AH66" s="8"/>
      <c r="AI66" s="11">
        <f t="shared" si="13"/>
        <v>7561.567328591188</v>
      </c>
    </row>
    <row r="67" spans="1:35" outlineLevel="1" x14ac:dyDescent="0.3">
      <c r="A67" s="13" t="s">
        <v>105</v>
      </c>
      <c r="B67" s="14" t="s">
        <v>104</v>
      </c>
      <c r="C67" s="8"/>
      <c r="D67" s="20">
        <v>4.2361111111111113E-2</v>
      </c>
      <c r="E67" s="20">
        <v>4.3055555555555555E-2</v>
      </c>
      <c r="F67" s="20"/>
      <c r="G67" s="33">
        <f>IFERROR((inputs!$B$5/100) *'master data '!E66 * inputs!$D$5,0)</f>
        <v>0.45</v>
      </c>
      <c r="H67" s="33">
        <f>IFERROR((inputs!$B$6/100) *'master data '!F66 * inputs!$D$6,0)</f>
        <v>11.55</v>
      </c>
      <c r="I67" s="33">
        <f>IFERROR((inputs!$B$7/100) *'master data '!G66 * inputs!$D$7,0)</f>
        <v>0</v>
      </c>
      <c r="J67" s="33">
        <f>IFERROR((inputs!$G$6/100) *'master data '!H66 * inputs!$I$6,0)</f>
        <v>0.84</v>
      </c>
      <c r="K67" s="33">
        <f>IFERROR((inputs!$G$7/100) *'master data '!I66 * inputs!$I$7,0)</f>
        <v>0.35000000000000003</v>
      </c>
      <c r="L67" s="28">
        <f>IFERROR((inputs!$G$8/100) *'master data '!J66 * inputs!$I$8,0)</f>
        <v>7.0000000000000007E-2</v>
      </c>
      <c r="M67" s="14">
        <f>IFERROR((inputs!$G$10/100) *'master data '!K66 * inputs!$I$10,0)</f>
        <v>2.0240000000000005</v>
      </c>
      <c r="N67" s="14">
        <f>IFERROR((inputs!$G$11/100) *'master data '!L66 * inputs!$I$11,0)</f>
        <v>2.4</v>
      </c>
      <c r="O67" s="28">
        <f>IFERROR((inputs!$B$15/100) *'master data '!M66 * inputs!$D$15,0)</f>
        <v>0.5</v>
      </c>
      <c r="P67" s="28">
        <f>IFERROR((inputs!$B$9/100) *'master data '!N66 * inputs!$D$9,0)</f>
        <v>0.75</v>
      </c>
      <c r="Q67" s="28">
        <f>IFERROR((inputs!$G$5/100) *'master data '!O66 * inputs!$I$5,0)</f>
        <v>0</v>
      </c>
      <c r="R67" s="28">
        <f>IFERROR((inputs!$B$10/100) *'master data '!P66 * inputs!$D$10,0)</f>
        <v>0.185</v>
      </c>
      <c r="S67" s="28">
        <f>IFERROR((inputs!$B$11/100) *'master data '!Q66 * inputs!$D$11,0)</f>
        <v>0.19</v>
      </c>
      <c r="T67" s="28">
        <f>IFERROR((inputs!$B$12/100) *'master data '!R66 * inputs!$D$12,0)</f>
        <v>0.20499999999999999</v>
      </c>
      <c r="U67" s="28">
        <f>IFERROR((inputs!$B$13/100) *'master data '!S66 * inputs!$D$13,0)</f>
        <v>0.215</v>
      </c>
      <c r="V67" s="28">
        <f>IFERROR((inputs!$B$14/100) *'master data '!T66 * inputs!$D$14,0)</f>
        <v>0.21</v>
      </c>
      <c r="W67" s="28">
        <f>IFERROR((#REF!/100) *'master data '!U66 *#REF!,0)</f>
        <v>0</v>
      </c>
      <c r="X67" s="28">
        <f>IFERROR((#REF!/100) *'master data '!W66 *#REF!,0)</f>
        <v>0</v>
      </c>
      <c r="Y67" s="28">
        <f>IFERROR((#REF!/100) *'master data '!X66 *#REF!,0)</f>
        <v>0</v>
      </c>
      <c r="Z67" s="28">
        <f>IFERROR((#REF!/100) *'master data '!V66 *#REF!,0)</f>
        <v>0</v>
      </c>
      <c r="AA67" s="28">
        <f>IFERROR((#REF!/100) *'master data '!Y66 *#REF!,0)</f>
        <v>0</v>
      </c>
      <c r="AB67" s="29">
        <f t="shared" si="3"/>
        <v>19.939</v>
      </c>
      <c r="AC67" s="9">
        <f t="shared" si="7"/>
        <v>2.8484285714285713</v>
      </c>
      <c r="AD67" s="10">
        <f t="shared" si="11"/>
        <v>2.8060674603174602</v>
      </c>
      <c r="AE67" s="10" t="s">
        <v>65</v>
      </c>
      <c r="AF67" s="11">
        <f t="shared" si="5"/>
        <v>6724.1592505854796</v>
      </c>
      <c r="AG67" s="34">
        <f t="shared" si="12"/>
        <v>2.8053730158730157</v>
      </c>
      <c r="AH67" s="8"/>
      <c r="AI67" s="11">
        <f t="shared" si="13"/>
        <v>6615.705069124424</v>
      </c>
    </row>
    <row r="68" spans="1:35" ht="21" x14ac:dyDescent="0.3">
      <c r="A68" s="21" t="s">
        <v>106</v>
      </c>
      <c r="B68" s="13" t="s">
        <v>64</v>
      </c>
      <c r="C68" s="8" t="s">
        <v>65</v>
      </c>
      <c r="D68" s="13">
        <v>25</v>
      </c>
      <c r="E68" s="13">
        <v>30</v>
      </c>
      <c r="F68" s="13"/>
      <c r="G68" s="33">
        <f>IFERROR((inputs!$B$5/100) *'master data '!E67 * inputs!$D$5,0)</f>
        <v>0</v>
      </c>
      <c r="H68" s="33">
        <f>IFERROR((inputs!$B$6/100) *'master data '!F67 * inputs!$D$6,0)</f>
        <v>0</v>
      </c>
      <c r="I68" s="33">
        <f>IFERROR((inputs!$B$7/100) *'master data '!G67 * inputs!$D$7,0)</f>
        <v>0</v>
      </c>
      <c r="J68" s="33">
        <f>IFERROR((inputs!$G$6/100) *'master data '!H67 * inputs!$I$6,0)</f>
        <v>21</v>
      </c>
      <c r="K68" s="33">
        <f>IFERROR((inputs!$G$7/100) *'master data '!I67 * inputs!$I$7,0)</f>
        <v>120.39999999999999</v>
      </c>
      <c r="L68" s="28">
        <f>IFERROR((inputs!$G$8/100) *'master data '!J67 * inputs!$I$8,0)</f>
        <v>19.110000000000003</v>
      </c>
      <c r="M68" s="14">
        <f>IFERROR((inputs!$G$10/100) *'master data '!K67 * inputs!$I$10,0)</f>
        <v>0</v>
      </c>
      <c r="N68" s="14">
        <f>IFERROR((inputs!$G$11/100) *'master data '!L67 * inputs!$I$11,0)</f>
        <v>0</v>
      </c>
      <c r="O68" s="28">
        <f>IFERROR((inputs!$B$15/100) *'master data '!M67 * inputs!$D$15,0)</f>
        <v>32.5</v>
      </c>
      <c r="P68" s="28">
        <f>IFERROR((inputs!$B$9/100) *'master data '!N67 * inputs!$D$9,0)</f>
        <v>45</v>
      </c>
      <c r="Q68" s="28">
        <f>IFERROR((inputs!$G$5/100) *'master data '!O67 * inputs!$I$5,0)</f>
        <v>6.3699999999999992</v>
      </c>
      <c r="R68" s="28">
        <f>IFERROR((inputs!$B$10/100) *'master data '!P67 * inputs!$D$10,0)</f>
        <v>8.15</v>
      </c>
      <c r="S68" s="28">
        <f>IFERROR((inputs!$B$11/100) *'master data '!Q67 * inputs!$D$11,0)</f>
        <v>8.4</v>
      </c>
      <c r="T68" s="28">
        <f>IFERROR((inputs!$B$12/100) *'master data '!R67 * inputs!$D$12,0)</f>
        <v>7.8</v>
      </c>
      <c r="U68" s="28">
        <f>IFERROR((inputs!$B$13/100) *'master data '!S67 * inputs!$D$13,0)</f>
        <v>12.5</v>
      </c>
      <c r="V68" s="28">
        <f>IFERROR((inputs!$B$14/100) *'master data '!T67 * inputs!$D$14,0)</f>
        <v>9.4499999999999993</v>
      </c>
      <c r="W68" s="28">
        <f>IFERROR((#REF!/100) *'master data '!U67 *#REF!,0)</f>
        <v>0</v>
      </c>
      <c r="X68" s="28">
        <f>IFERROR((#REF!/100) *'master data '!W67 *#REF!,0)</f>
        <v>0</v>
      </c>
      <c r="Y68" s="28">
        <f>IFERROR((#REF!/100) *'master data '!X67 *#REF!,0)</f>
        <v>0</v>
      </c>
      <c r="Z68" s="28">
        <f>IFERROR((#REF!/100) *'master data '!V67 *#REF!,0)</f>
        <v>0</v>
      </c>
      <c r="AA68" s="28">
        <f>IFERROR((#REF!/100) *'master data '!Y67 *#REF!,0)</f>
        <v>0</v>
      </c>
      <c r="AB68" s="29">
        <f t="shared" ref="AB68:AB81" si="14">SUM(G68:AA68)</f>
        <v>290.68</v>
      </c>
      <c r="AC68" s="9">
        <f t="shared" si="7"/>
        <v>41.525714285714287</v>
      </c>
      <c r="AD68" s="10">
        <f t="shared" si="11"/>
        <v>16.525714285714287</v>
      </c>
      <c r="AE68" s="10" t="s">
        <v>65</v>
      </c>
      <c r="AF68" s="11">
        <f t="shared" ref="AF68:AF105" si="15">IFERROR(AC68/D68*100,"N/A")</f>
        <v>166.10285714285715</v>
      </c>
      <c r="AG68" s="34">
        <f t="shared" si="12"/>
        <v>11.525714285714287</v>
      </c>
      <c r="AH68" s="8" t="s">
        <v>65</v>
      </c>
      <c r="AI68" s="11">
        <f t="shared" si="13"/>
        <v>138.41904761904763</v>
      </c>
    </row>
    <row r="69" spans="1:35" outlineLevel="1" x14ac:dyDescent="0.3">
      <c r="A69" s="13" t="s">
        <v>107</v>
      </c>
      <c r="B69" s="14" t="s">
        <v>3</v>
      </c>
      <c r="C69" s="8" t="s">
        <v>65</v>
      </c>
      <c r="D69" s="13">
        <v>5</v>
      </c>
      <c r="E69" s="13">
        <v>12</v>
      </c>
      <c r="F69" s="13"/>
      <c r="G69" s="33">
        <f>IFERROR((inputs!$B$5/100) *'master data '!E68 * inputs!$D$5,0)</f>
        <v>0</v>
      </c>
      <c r="H69" s="33">
        <f>IFERROR((inputs!$B$6/100) *'master data '!F68 * inputs!$D$6,0)</f>
        <v>0</v>
      </c>
      <c r="I69" s="33">
        <f>IFERROR((inputs!$B$7/100) *'master data '!G68 * inputs!$D$7,0)</f>
        <v>0</v>
      </c>
      <c r="J69" s="33">
        <f>IFERROR((inputs!$G$6/100) *'master data '!H68 * inputs!$I$6,0)</f>
        <v>8.4</v>
      </c>
      <c r="K69" s="33">
        <f>IFERROR((inputs!$G$7/100) *'master data '!I68 * inputs!$I$7,0)</f>
        <v>35</v>
      </c>
      <c r="L69" s="28">
        <f>IFERROR((inputs!$G$8/100) *'master data '!J68 * inputs!$I$8,0)</f>
        <v>5.25</v>
      </c>
      <c r="M69" s="14">
        <f>IFERROR((inputs!$G$10/100) *'master data '!K68 * inputs!$I$10,0)</f>
        <v>0</v>
      </c>
      <c r="N69" s="14">
        <f>IFERROR((inputs!$G$11/100) *'master data '!L68 * inputs!$I$11,0)</f>
        <v>0</v>
      </c>
      <c r="O69" s="28">
        <f>IFERROR((inputs!$B$15/100) *'master data '!M68 * inputs!$D$15,0)</f>
        <v>7.5</v>
      </c>
      <c r="P69" s="28">
        <f>IFERROR((inputs!$B$9/100) *'master data '!N68 * inputs!$D$9,0)</f>
        <v>10</v>
      </c>
      <c r="Q69" s="28">
        <f>IFERROR((inputs!$G$5/100) *'master data '!O68 * inputs!$I$5,0)</f>
        <v>1.47</v>
      </c>
      <c r="R69" s="28">
        <f>IFERROR((inputs!$B$10/100) *'master data '!P68 * inputs!$D$10,0)</f>
        <v>2.6</v>
      </c>
      <c r="S69" s="28">
        <f>IFERROR((inputs!$B$11/100) *'master data '!Q68 * inputs!$D$11,0)</f>
        <v>2.7</v>
      </c>
      <c r="T69" s="28">
        <f>IFERROR((inputs!$B$12/100) *'master data '!R68 * inputs!$D$12,0)</f>
        <v>2.5</v>
      </c>
      <c r="U69" s="28">
        <f>IFERROR((inputs!$B$13/100) *'master data '!S68 * inputs!$D$13,0)</f>
        <v>3.25</v>
      </c>
      <c r="V69" s="28">
        <f>IFERROR((inputs!$B$14/100) *'master data '!T68 * inputs!$D$14,0)</f>
        <v>2.9</v>
      </c>
      <c r="W69" s="28">
        <f>IFERROR((#REF!/100) *'master data '!U68 *#REF!,0)</f>
        <v>0</v>
      </c>
      <c r="X69" s="28">
        <f>IFERROR((#REF!/100) *'master data '!W68 *#REF!,0)</f>
        <v>0</v>
      </c>
      <c r="Y69" s="28">
        <f>IFERROR((#REF!/100) *'master data '!X68 *#REF!,0)</f>
        <v>0</v>
      </c>
      <c r="Z69" s="28">
        <f>IFERROR((#REF!/100) *'master data '!V68 *#REF!,0)</f>
        <v>0</v>
      </c>
      <c r="AA69" s="28">
        <f>IFERROR((#REF!/100) *'master data '!Y68 *#REF!,0)</f>
        <v>0</v>
      </c>
      <c r="AB69" s="29">
        <f t="shared" si="14"/>
        <v>81.570000000000007</v>
      </c>
      <c r="AC69" s="9">
        <f t="shared" si="7"/>
        <v>11.652857142857144</v>
      </c>
      <c r="AD69" s="10">
        <f t="shared" si="11"/>
        <v>6.6528571428571439</v>
      </c>
      <c r="AE69" s="10" t="s">
        <v>65</v>
      </c>
      <c r="AF69" s="11">
        <f t="shared" si="15"/>
        <v>233.05714285714291</v>
      </c>
      <c r="AG69" s="34">
        <f t="shared" si="12"/>
        <v>-0.34714285714285609</v>
      </c>
      <c r="AH69" s="15"/>
      <c r="AI69" s="11">
        <f t="shared" si="13"/>
        <v>97.107142857142875</v>
      </c>
    </row>
    <row r="70" spans="1:35" outlineLevel="1" x14ac:dyDescent="0.3">
      <c r="A70" s="13" t="s">
        <v>108</v>
      </c>
      <c r="B70" s="14" t="s">
        <v>109</v>
      </c>
      <c r="C70" s="8" t="s">
        <v>65</v>
      </c>
      <c r="D70" s="13">
        <v>5</v>
      </c>
      <c r="E70" s="13">
        <v>12</v>
      </c>
      <c r="F70" s="13"/>
      <c r="G70" s="33">
        <f>IFERROR((inputs!$B$5/100) *'master data '!E69 * inputs!$D$5,0)</f>
        <v>0</v>
      </c>
      <c r="H70" s="33">
        <f>IFERROR((inputs!$B$6/100) *'master data '!F69 * inputs!$D$6,0)</f>
        <v>0</v>
      </c>
      <c r="I70" s="33">
        <f>IFERROR((inputs!$B$7/100) *'master data '!G69 * inputs!$D$7,0)</f>
        <v>0</v>
      </c>
      <c r="J70" s="33">
        <f>IFERROR((inputs!$G$6/100) *'master data '!H69 * inputs!$I$6,0)</f>
        <v>12.599999999999998</v>
      </c>
      <c r="K70" s="33">
        <f>IFERROR((inputs!$G$7/100) *'master data '!I69 * inputs!$I$7,0)</f>
        <v>85.399999999999991</v>
      </c>
      <c r="L70" s="28">
        <f>IFERROR((inputs!$G$8/100) *'master data '!J69 * inputs!$I$8,0)</f>
        <v>13.860000000000001</v>
      </c>
      <c r="M70" s="14">
        <f>IFERROR((inputs!$G$10/100) *'master data '!K69 * inputs!$I$10,0)</f>
        <v>0</v>
      </c>
      <c r="N70" s="14">
        <f>IFERROR((inputs!$G$11/100) *'master data '!L69 * inputs!$I$11,0)</f>
        <v>0</v>
      </c>
      <c r="O70" s="28">
        <f>IFERROR((inputs!$B$15/100) *'master data '!M69 * inputs!$D$15,0)</f>
        <v>25</v>
      </c>
      <c r="P70" s="28">
        <f>IFERROR((inputs!$B$9/100) *'master data '!N69 * inputs!$D$9,0)</f>
        <v>35</v>
      </c>
      <c r="Q70" s="28">
        <f>IFERROR((inputs!$G$5/100) *'master data '!O69 * inputs!$I$5,0)</f>
        <v>4.8999999999999995</v>
      </c>
      <c r="R70" s="28">
        <f>IFERROR((inputs!$B$10/100) *'master data '!P69 * inputs!$D$10,0)</f>
        <v>4.7</v>
      </c>
      <c r="S70" s="28">
        <f>IFERROR((inputs!$B$11/100) *'master data '!Q69 * inputs!$D$11,0)</f>
        <v>4.8499999999999996</v>
      </c>
      <c r="T70" s="28">
        <f>IFERROR((inputs!$B$12/100) *'master data '!R69 * inputs!$D$12,0)</f>
        <v>4.5</v>
      </c>
      <c r="U70" s="28">
        <f>IFERROR((inputs!$B$13/100) *'master data '!S69 * inputs!$D$13,0)</f>
        <v>8.25</v>
      </c>
      <c r="V70" s="28">
        <f>IFERROR((inputs!$B$14/100) *'master data '!T69 * inputs!$D$14,0)</f>
        <v>5.6</v>
      </c>
      <c r="W70" s="28">
        <f>IFERROR((#REF!/100) *'master data '!U69 *#REF!,0)</f>
        <v>0</v>
      </c>
      <c r="X70" s="28">
        <f>IFERROR((#REF!/100) *'master data '!W69 *#REF!,0)</f>
        <v>0</v>
      </c>
      <c r="Y70" s="28">
        <f>IFERROR((#REF!/100) *'master data '!X69 *#REF!,0)</f>
        <v>0</v>
      </c>
      <c r="Z70" s="28">
        <f>IFERROR((#REF!/100) *'master data '!V69 *#REF!,0)</f>
        <v>0</v>
      </c>
      <c r="AA70" s="28">
        <f>IFERROR((#REF!/100) *'master data '!Y69 *#REF!,0)</f>
        <v>0</v>
      </c>
      <c r="AB70" s="29">
        <f t="shared" si="14"/>
        <v>204.65999999999997</v>
      </c>
      <c r="AC70" s="9">
        <f t="shared" si="7"/>
        <v>29.237142857142853</v>
      </c>
      <c r="AD70" s="10">
        <f t="shared" si="11"/>
        <v>24.237142857142853</v>
      </c>
      <c r="AE70" s="10" t="s">
        <v>65</v>
      </c>
      <c r="AF70" s="11">
        <f t="shared" si="15"/>
        <v>584.74285714285713</v>
      </c>
      <c r="AG70" s="34">
        <f t="shared" si="12"/>
        <v>17.237142857142853</v>
      </c>
      <c r="AH70" s="15"/>
      <c r="AI70" s="11">
        <f t="shared" si="13"/>
        <v>243.64285714285708</v>
      </c>
    </row>
    <row r="71" spans="1:35" outlineLevel="1" x14ac:dyDescent="0.3">
      <c r="A71" s="13" t="s">
        <v>110</v>
      </c>
      <c r="B71" s="14" t="s">
        <v>73</v>
      </c>
      <c r="C71" s="8" t="s">
        <v>65</v>
      </c>
      <c r="D71" s="13">
        <v>3</v>
      </c>
      <c r="E71" s="13">
        <v>6</v>
      </c>
      <c r="F71" s="13"/>
      <c r="G71" s="33">
        <f>IFERROR((inputs!$B$5/100) *'master data '!E70 * inputs!$D$5,0)</f>
        <v>0</v>
      </c>
      <c r="H71" s="33">
        <f>IFERROR((inputs!$B$6/100) *'master data '!F70 * inputs!$D$6,0)</f>
        <v>0</v>
      </c>
      <c r="I71" s="33">
        <f>IFERROR((inputs!$B$7/100) *'master data '!G70 * inputs!$D$7,0)</f>
        <v>0</v>
      </c>
      <c r="J71" s="33">
        <f>IFERROR((inputs!$G$6/100) *'master data '!H70 * inputs!$I$6,0)</f>
        <v>6.2999999999999989</v>
      </c>
      <c r="K71" s="33">
        <f>IFERROR((inputs!$G$7/100) *'master data '!I70 * inputs!$I$7,0)</f>
        <v>1.7500000000000002</v>
      </c>
      <c r="L71" s="28">
        <f>IFERROR((inputs!$G$8/100) *'master data '!J70 * inputs!$I$8,0)</f>
        <v>0.35000000000000003</v>
      </c>
      <c r="M71" s="14">
        <f>IFERROR((inputs!$G$10/100) *'master data '!K70 * inputs!$I$10,0)</f>
        <v>0</v>
      </c>
      <c r="N71" s="14">
        <f>IFERROR((inputs!$G$11/100) *'master data '!L70 * inputs!$I$11,0)</f>
        <v>0</v>
      </c>
      <c r="O71" s="28">
        <f>IFERROR((inputs!$B$15/100) *'master data '!M70 * inputs!$D$15,0)</f>
        <v>2.5</v>
      </c>
      <c r="P71" s="28">
        <f>IFERROR((inputs!$B$9/100) *'master data '!N70 * inputs!$D$9,0)</f>
        <v>5</v>
      </c>
      <c r="Q71" s="28">
        <f>IFERROR((inputs!$G$5/100) *'master data '!O70 * inputs!$I$5,0)</f>
        <v>2.4499999999999997</v>
      </c>
      <c r="R71" s="28">
        <f>IFERROR((inputs!$B$10/100) *'master data '!P70 * inputs!$D$10,0)</f>
        <v>0.85</v>
      </c>
      <c r="S71" s="28">
        <f>IFERROR((inputs!$B$11/100) *'master data '!Q70 * inputs!$D$11,0)</f>
        <v>0.85</v>
      </c>
      <c r="T71" s="28">
        <f>IFERROR((inputs!$B$12/100) *'master data '!R70 * inputs!$D$12,0)</f>
        <v>0.8</v>
      </c>
      <c r="U71" s="28">
        <f>IFERROR((inputs!$B$13/100) *'master data '!S70 * inputs!$D$13,0)</f>
        <v>1</v>
      </c>
      <c r="V71" s="28">
        <f>IFERROR((inputs!$B$14/100) *'master data '!T70 * inputs!$D$14,0)</f>
        <v>0.95</v>
      </c>
      <c r="W71" s="28">
        <f>IFERROR((#REF!/100) *'master data '!U70 *#REF!,0)</f>
        <v>0</v>
      </c>
      <c r="X71" s="28">
        <f>IFERROR((#REF!/100) *'master data '!W70 *#REF!,0)</f>
        <v>0</v>
      </c>
      <c r="Y71" s="28">
        <f>IFERROR((#REF!/100) *'master data '!X70 *#REF!,0)</f>
        <v>0</v>
      </c>
      <c r="Z71" s="28">
        <f>IFERROR((#REF!/100) *'master data '!V70 *#REF!,0)</f>
        <v>0</v>
      </c>
      <c r="AA71" s="28">
        <f>IFERROR((#REF!/100) *'master data '!Y70 *#REF!,0)</f>
        <v>0</v>
      </c>
      <c r="AB71" s="29">
        <f t="shared" si="14"/>
        <v>22.8</v>
      </c>
      <c r="AC71" s="9">
        <f t="shared" si="7"/>
        <v>3.2571428571428571</v>
      </c>
      <c r="AD71" s="10">
        <f t="shared" si="11"/>
        <v>0.25714285714285712</v>
      </c>
      <c r="AE71" s="10" t="s">
        <v>65</v>
      </c>
      <c r="AF71" s="11">
        <f t="shared" si="15"/>
        <v>108.57142857142857</v>
      </c>
      <c r="AG71" s="34">
        <f t="shared" si="12"/>
        <v>-2.7428571428571429</v>
      </c>
      <c r="AH71" s="15"/>
      <c r="AI71" s="11">
        <f t="shared" si="13"/>
        <v>54.285714285714285</v>
      </c>
    </row>
    <row r="72" spans="1:35" s="17" customFormat="1" x14ac:dyDescent="0.3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</row>
    <row r="73" spans="1:35" x14ac:dyDescent="0.3">
      <c r="A73" s="14" t="s">
        <v>111</v>
      </c>
      <c r="B73" s="14" t="s">
        <v>112</v>
      </c>
      <c r="C73" s="14" t="s">
        <v>30</v>
      </c>
      <c r="D73" s="14">
        <v>0</v>
      </c>
      <c r="E73" s="14">
        <v>250</v>
      </c>
      <c r="F73" s="14"/>
      <c r="G73" s="33">
        <f>IFERROR((inputs!$B$5/100) *'master data '!E72 * inputs!$D$5,0)</f>
        <v>0</v>
      </c>
      <c r="H73" s="13"/>
      <c r="I73" s="33">
        <f>IFERROR((inputs!$B$7/100) *'master data '!G72 * inputs!$D$7,0)</f>
        <v>2.8000000000000003</v>
      </c>
      <c r="J73" s="33">
        <f>IFERROR((inputs!$G$6/100) *'master data '!H72 * inputs!$I$6,0)</f>
        <v>42</v>
      </c>
      <c r="K73" s="33">
        <f>IFERROR((inputs!$G$7/100) *'master data '!I72 * inputs!$I$7,0)</f>
        <v>7.0000000000000009</v>
      </c>
      <c r="L73" s="28">
        <f>IFERROR((inputs!$G$8/100) *'master data '!J72 * inputs!$I$8,0)</f>
        <v>1.4000000000000001</v>
      </c>
      <c r="M73" s="14">
        <f>IFERROR((inputs!$G$10/100) *'master data '!K72 * inputs!$I$10,0)</f>
        <v>44</v>
      </c>
      <c r="N73" s="14">
        <f>IFERROR((inputs!$G$11/100) *'master data '!L72 * inputs!$I$11,0)</f>
        <v>0</v>
      </c>
      <c r="O73" s="28">
        <f>IFERROR((inputs!$B$15/100) *'master data '!M72 * inputs!$D$15,0)</f>
        <v>62.5</v>
      </c>
      <c r="P73" s="28">
        <f>IFERROR((inputs!$B$9/100) *'master data '!N72 * inputs!$D$9,0)</f>
        <v>37.5</v>
      </c>
      <c r="Q73" s="28">
        <f>IFERROR((inputs!$G$5/100) *'master data '!O72 * inputs!$I$5,0)</f>
        <v>0</v>
      </c>
      <c r="R73" s="28">
        <f>IFERROR((inputs!$B$10/100) *'master data '!P72 * inputs!$D$10,0)</f>
        <v>0</v>
      </c>
      <c r="S73" s="28">
        <f>IFERROR((inputs!$B$11/100) *'master data '!Q72 * inputs!$D$11,0)</f>
        <v>0</v>
      </c>
      <c r="T73" s="28">
        <f>IFERROR((inputs!$B$12/100) *'master data '!R72 * inputs!$D$12,0)</f>
        <v>0</v>
      </c>
      <c r="U73" s="28">
        <f>IFERROR((inputs!$B$13/100) *'master data '!S72 * inputs!$D$13,0)</f>
        <v>0</v>
      </c>
      <c r="V73" s="28">
        <f>IFERROR((inputs!$B$14/100) *'master data '!T72 * inputs!$D$14,0)</f>
        <v>0</v>
      </c>
      <c r="W73" s="28"/>
      <c r="X73" s="28"/>
      <c r="Y73" s="28"/>
      <c r="Z73" s="28"/>
      <c r="AA73" s="28"/>
      <c r="AB73" s="29">
        <f t="shared" si="14"/>
        <v>197.2</v>
      </c>
      <c r="AC73" s="9">
        <f t="shared" ref="AC73:AC97" si="16">AB73 / 7</f>
        <v>28.171428571428571</v>
      </c>
      <c r="AD73" s="10">
        <f t="shared" ref="AD73:AD81" si="17">AC73 -D73</f>
        <v>28.171428571428571</v>
      </c>
      <c r="AE73" s="10" t="str">
        <f t="shared" ref="AE73:AE81" si="18">C73</f>
        <v>mg</v>
      </c>
      <c r="AF73" s="11" t="str">
        <f t="shared" si="15"/>
        <v>N/A</v>
      </c>
      <c r="AG73" s="34">
        <f t="shared" ref="AG73:AG81" si="19">AC73 -E73</f>
        <v>-221.82857142857142</v>
      </c>
      <c r="AH73" s="15"/>
      <c r="AI73" s="11">
        <f t="shared" ref="AI73:AI81" si="20">AC73 /E73*100</f>
        <v>11.268571428571427</v>
      </c>
    </row>
    <row r="74" spans="1:35" x14ac:dyDescent="0.3">
      <c r="A74" s="14" t="s">
        <v>114</v>
      </c>
      <c r="B74" s="14" t="s">
        <v>115</v>
      </c>
      <c r="C74" s="14" t="s">
        <v>30</v>
      </c>
      <c r="D74" s="14">
        <v>0</v>
      </c>
      <c r="E74" s="14">
        <v>150</v>
      </c>
      <c r="F74" s="14"/>
      <c r="G74" s="33">
        <f>IFERROR((inputs!$B$5/100) *'master data '!E73 * inputs!$D$5,0)</f>
        <v>0</v>
      </c>
      <c r="H74" s="13"/>
      <c r="I74" s="33">
        <f>IFERROR((inputs!$B$7/100) *'master data '!G73 * inputs!$D$7,0)</f>
        <v>2.8000000000000001E-2</v>
      </c>
      <c r="J74" s="33">
        <f>IFERROR((inputs!$G$6/100) *'master data '!H73 * inputs!$I$6,0)</f>
        <v>0.63</v>
      </c>
      <c r="K74" s="33">
        <f>IFERROR((inputs!$G$7/100) *'master data '!I73 * inputs!$I$7,0)</f>
        <v>2.1</v>
      </c>
      <c r="L74" s="28">
        <f>IFERROR((inputs!$G$8/100) *'master data '!J73 * inputs!$I$8,0)</f>
        <v>0.42</v>
      </c>
      <c r="M74" s="14">
        <f>IFERROR((inputs!$G$10/100) *'master data '!K73 * inputs!$I$10,0)</f>
        <v>0.44000000000000006</v>
      </c>
      <c r="N74" s="14">
        <f>IFERROR((inputs!$G$11/100) *'master data '!L73 * inputs!$I$11,0)</f>
        <v>0</v>
      </c>
      <c r="O74" s="28">
        <f>IFERROR((inputs!$B$15/100) *'master data '!M73 * inputs!$D$15,0)</f>
        <v>1.25</v>
      </c>
      <c r="P74" s="28">
        <f>IFERROR((inputs!$B$9/100) *'master data '!N73 * inputs!$D$9,0)</f>
        <v>1</v>
      </c>
      <c r="Q74" s="28">
        <f>IFERROR((inputs!$G$5/100) *'master data '!O73 * inputs!$I$5,0)</f>
        <v>0</v>
      </c>
      <c r="R74" s="28">
        <f>IFERROR((inputs!$B$10/100) *'master data '!P73 * inputs!$D$10,0)</f>
        <v>0</v>
      </c>
      <c r="S74" s="28">
        <f>IFERROR((inputs!$B$11/100) *'master data '!Q73 * inputs!$D$11,0)</f>
        <v>0</v>
      </c>
      <c r="T74" s="28">
        <f>IFERROR((inputs!$B$12/100) *'master data '!R73 * inputs!$D$12,0)</f>
        <v>0</v>
      </c>
      <c r="U74" s="28">
        <f>IFERROR((inputs!$B$13/100) *'master data '!S73 * inputs!$D$13,0)</f>
        <v>0</v>
      </c>
      <c r="V74" s="28">
        <f>IFERROR((inputs!$B$14/100) *'master data '!T73 * inputs!$D$14,0)</f>
        <v>0</v>
      </c>
      <c r="W74" s="28"/>
      <c r="X74" s="28"/>
      <c r="Y74" s="28"/>
      <c r="Z74" s="28"/>
      <c r="AA74" s="28"/>
      <c r="AB74" s="29">
        <f t="shared" si="14"/>
        <v>5.8680000000000003</v>
      </c>
      <c r="AC74" s="9">
        <f t="shared" si="16"/>
        <v>0.8382857142857143</v>
      </c>
      <c r="AD74" s="10">
        <f t="shared" si="17"/>
        <v>0.8382857142857143</v>
      </c>
      <c r="AE74" s="10" t="str">
        <f t="shared" si="18"/>
        <v>mg</v>
      </c>
      <c r="AF74" s="11" t="str">
        <f t="shared" si="15"/>
        <v>N/A</v>
      </c>
      <c r="AG74" s="34">
        <f t="shared" si="19"/>
        <v>-149.16171428571428</v>
      </c>
      <c r="AH74" s="15"/>
      <c r="AI74" s="11">
        <f t="shared" si="20"/>
        <v>0.55885714285714294</v>
      </c>
    </row>
    <row r="75" spans="1:35" x14ac:dyDescent="0.3">
      <c r="A75" s="14" t="s">
        <v>116</v>
      </c>
      <c r="B75" s="14" t="s">
        <v>117</v>
      </c>
      <c r="C75" s="14" t="s">
        <v>30</v>
      </c>
      <c r="D75" s="14">
        <v>0</v>
      </c>
      <c r="E75" s="14">
        <v>150</v>
      </c>
      <c r="F75" s="14"/>
      <c r="G75" s="33">
        <f>IFERROR((inputs!$B$5/100) *'master data '!E74 * inputs!$D$5,0)</f>
        <v>0</v>
      </c>
      <c r="H75" s="13"/>
      <c r="I75" s="33">
        <f>IFERROR((inputs!$B$7/100) *'master data '!G74 * inputs!$D$7,0)</f>
        <v>0</v>
      </c>
      <c r="J75" s="33">
        <f>IFERROR((inputs!$G$6/100) *'master data '!H74 * inputs!$I$6,0)</f>
        <v>0.21</v>
      </c>
      <c r="K75" s="33">
        <f>IFERROR((inputs!$G$7/100) *'master data '!I74 * inputs!$I$7,0)</f>
        <v>0</v>
      </c>
      <c r="L75" s="28">
        <f>IFERROR((inputs!$G$8/100) *'master data '!J74 * inputs!$I$8,0)</f>
        <v>0</v>
      </c>
      <c r="M75" s="14">
        <f>IFERROR((inputs!$G$10/100) *'master data '!K74 * inputs!$I$10,0)</f>
        <v>0</v>
      </c>
      <c r="N75" s="14">
        <f>IFERROR((inputs!$G$11/100) *'master data '!L74 * inputs!$I$11,0)</f>
        <v>0</v>
      </c>
      <c r="O75" s="28">
        <f>IFERROR((inputs!$B$15/100) *'master data '!M74 * inputs!$D$15,0)</f>
        <v>0.25</v>
      </c>
      <c r="P75" s="28">
        <f>IFERROR((inputs!$B$9/100) *'master data '!N74 * inputs!$D$9,0)</f>
        <v>0.125</v>
      </c>
      <c r="Q75" s="28">
        <f>IFERROR((inputs!$G$5/100) *'master data '!O74 * inputs!$I$5,0)</f>
        <v>0</v>
      </c>
      <c r="R75" s="28">
        <f>IFERROR((inputs!$B$10/100) *'master data '!P74 * inputs!$D$10,0)</f>
        <v>0</v>
      </c>
      <c r="S75" s="28">
        <f>IFERROR((inputs!$B$11/100) *'master data '!Q74 * inputs!$D$11,0)</f>
        <v>0</v>
      </c>
      <c r="T75" s="28">
        <f>IFERROR((inputs!$B$12/100) *'master data '!R74 * inputs!$D$12,0)</f>
        <v>0</v>
      </c>
      <c r="U75" s="28">
        <f>IFERROR((inputs!$B$13/100) *'master data '!S74 * inputs!$D$13,0)</f>
        <v>0</v>
      </c>
      <c r="V75" s="28">
        <f>IFERROR((inputs!$B$14/100) *'master data '!T74 * inputs!$D$14,0)</f>
        <v>0</v>
      </c>
      <c r="W75" s="28"/>
      <c r="X75" s="28"/>
      <c r="Y75" s="28"/>
      <c r="Z75" s="28"/>
      <c r="AA75" s="28"/>
      <c r="AB75" s="29">
        <f t="shared" si="14"/>
        <v>0.58499999999999996</v>
      </c>
      <c r="AC75" s="9">
        <f t="shared" si="16"/>
        <v>8.357142857142856E-2</v>
      </c>
      <c r="AD75" s="10">
        <f t="shared" si="17"/>
        <v>8.357142857142856E-2</v>
      </c>
      <c r="AE75" s="10" t="str">
        <f t="shared" si="18"/>
        <v>mg</v>
      </c>
      <c r="AF75" s="11" t="str">
        <f t="shared" si="15"/>
        <v>N/A</v>
      </c>
      <c r="AG75" s="34">
        <f t="shared" si="19"/>
        <v>-149.91642857142858</v>
      </c>
      <c r="AH75" s="15"/>
      <c r="AI75" s="11">
        <f t="shared" si="20"/>
        <v>5.5714285714285709E-2</v>
      </c>
    </row>
    <row r="76" spans="1:35" x14ac:dyDescent="0.3">
      <c r="A76" s="14" t="s">
        <v>118</v>
      </c>
      <c r="B76" s="14" t="s">
        <v>119</v>
      </c>
      <c r="C76" s="14" t="s">
        <v>30</v>
      </c>
      <c r="D76" s="14">
        <v>0</v>
      </c>
      <c r="E76" s="14">
        <v>600</v>
      </c>
      <c r="F76" s="14"/>
      <c r="G76" s="33">
        <f>IFERROR((inputs!$B$5/100) *'master data '!E75 * inputs!$D$5,0)</f>
        <v>0</v>
      </c>
      <c r="H76" s="13"/>
      <c r="I76" s="33">
        <f>IFERROR((inputs!$B$7/100) *'master data '!G75 * inputs!$D$7,0)</f>
        <v>0</v>
      </c>
      <c r="J76" s="33">
        <f>IFERROR((inputs!$G$6/100) *'master data '!H75 * inputs!$I$6,0)</f>
        <v>0</v>
      </c>
      <c r="K76" s="33">
        <f>IFERROR((inputs!$G$7/100) *'master data '!I75 * inputs!$I$7,0)</f>
        <v>0</v>
      </c>
      <c r="L76" s="28">
        <f>IFERROR((inputs!$G$8/100) *'master data '!J75 * inputs!$I$8,0)</f>
        <v>0</v>
      </c>
      <c r="M76" s="14">
        <f>IFERROR((inputs!$G$10/100) *'master data '!K75 * inputs!$I$10,0)</f>
        <v>0</v>
      </c>
      <c r="N76" s="14">
        <f>IFERROR((inputs!$G$11/100) *'master data '!L75 * inputs!$I$11,0)</f>
        <v>0</v>
      </c>
      <c r="O76" s="28">
        <f>IFERROR((inputs!$B$15/100) *'master data '!M75 * inputs!$D$15,0)</f>
        <v>0</v>
      </c>
      <c r="P76" s="28">
        <f>IFERROR((inputs!$B$9/100) *'master data '!N75 * inputs!$D$9,0)</f>
        <v>0</v>
      </c>
      <c r="Q76" s="28">
        <f>IFERROR((inputs!$G$5/100) *'master data '!O75 * inputs!$I$5,0)</f>
        <v>0</v>
      </c>
      <c r="R76" s="28">
        <f>IFERROR((inputs!$B$10/100) *'master data '!P75 * inputs!$D$10,0)</f>
        <v>0</v>
      </c>
      <c r="S76" s="28">
        <f>IFERROR((inputs!$B$11/100) *'master data '!Q75 * inputs!$D$11,0)</f>
        <v>0</v>
      </c>
      <c r="T76" s="28">
        <f>IFERROR((inputs!$B$12/100) *'master data '!R75 * inputs!$D$12,0)</f>
        <v>0</v>
      </c>
      <c r="U76" s="28">
        <f>IFERROR((inputs!$B$13/100) *'master data '!S75 * inputs!$D$13,0)</f>
        <v>0</v>
      </c>
      <c r="V76" s="28">
        <f>IFERROR((inputs!$B$14/100) *'master data '!T75 * inputs!$D$14,0)</f>
        <v>0</v>
      </c>
      <c r="W76" s="28"/>
      <c r="X76" s="28"/>
      <c r="Y76" s="28"/>
      <c r="Z76" s="28"/>
      <c r="AA76" s="28"/>
      <c r="AB76" s="29">
        <f t="shared" si="14"/>
        <v>0</v>
      </c>
      <c r="AC76" s="9">
        <f t="shared" si="16"/>
        <v>0</v>
      </c>
      <c r="AD76" s="10">
        <f t="shared" si="17"/>
        <v>0</v>
      </c>
      <c r="AE76" s="10" t="str">
        <f t="shared" si="18"/>
        <v>mg</v>
      </c>
      <c r="AF76" s="11" t="str">
        <f t="shared" si="15"/>
        <v>N/A</v>
      </c>
      <c r="AG76" s="34">
        <f t="shared" si="19"/>
        <v>-600</v>
      </c>
      <c r="AH76" s="15"/>
      <c r="AI76" s="11">
        <f t="shared" si="20"/>
        <v>0</v>
      </c>
    </row>
    <row r="77" spans="1:35" x14ac:dyDescent="0.3">
      <c r="A77" s="14" t="s">
        <v>120</v>
      </c>
      <c r="B77" s="14"/>
      <c r="C77" s="14" t="s">
        <v>30</v>
      </c>
      <c r="D77" s="14">
        <v>500</v>
      </c>
      <c r="E77" s="14">
        <v>500</v>
      </c>
      <c r="F77" s="14"/>
      <c r="G77" s="33">
        <f>IFERROR((inputs!$B$5/100) *'master data '!E76 * inputs!$D$5,0)</f>
        <v>0</v>
      </c>
      <c r="H77" s="13"/>
      <c r="I77" s="33">
        <f>IFERROR((inputs!$B$7/100) *'master data '!G76 * inputs!$D$7,0)</f>
        <v>154</v>
      </c>
      <c r="J77" s="33">
        <f>IFERROR((inputs!$G$6/100) *'master data '!H76 * inputs!$I$6,0)</f>
        <v>84</v>
      </c>
      <c r="K77" s="33">
        <f>IFERROR((inputs!$G$7/100) *'master data '!I76 * inputs!$I$7,0)</f>
        <v>210</v>
      </c>
      <c r="L77" s="28">
        <f>IFERROR((inputs!$G$8/100) *'master data '!J76 * inputs!$I$8,0)</f>
        <v>45.5</v>
      </c>
      <c r="M77" s="14">
        <f>IFERROR((inputs!$G$10/100) *'master data '!K76 * inputs!$I$10,0)</f>
        <v>1104.4000000000001</v>
      </c>
      <c r="N77" s="14">
        <f>IFERROR((inputs!$G$11/100) *'master data '!L76 * inputs!$I$11,0)</f>
        <v>0</v>
      </c>
      <c r="O77" s="28">
        <f>IFERROR((inputs!$B$15/100) *'master data '!M76 * inputs!$D$15,0)</f>
        <v>275</v>
      </c>
      <c r="P77" s="28">
        <f>IFERROR((inputs!$B$9/100) *'master data '!N76 * inputs!$D$9,0)</f>
        <v>100</v>
      </c>
      <c r="Q77" s="28">
        <f>IFERROR((inputs!$G$5/100) *'master data '!O76 * inputs!$I$5,0)</f>
        <v>0</v>
      </c>
      <c r="R77" s="28">
        <f>IFERROR((inputs!$B$10/100) *'master data '!P76 * inputs!$D$10,0)</f>
        <v>0</v>
      </c>
      <c r="S77" s="28">
        <f>IFERROR((inputs!$B$11/100) *'master data '!Q76 * inputs!$D$11,0)</f>
        <v>0</v>
      </c>
      <c r="T77" s="28">
        <f>IFERROR((inputs!$B$12/100) *'master data '!R76 * inputs!$D$12,0)</f>
        <v>0</v>
      </c>
      <c r="U77" s="28">
        <f>IFERROR((inputs!$B$13/100) *'master data '!S76 * inputs!$D$13,0)</f>
        <v>0</v>
      </c>
      <c r="V77" s="28">
        <f>IFERROR((inputs!$B$14/100) *'master data '!T76 * inputs!$D$14,0)</f>
        <v>0</v>
      </c>
      <c r="W77" s="28"/>
      <c r="X77" s="28"/>
      <c r="Y77" s="28"/>
      <c r="Z77" s="28"/>
      <c r="AA77" s="28"/>
      <c r="AB77" s="29">
        <f t="shared" si="14"/>
        <v>1972.9</v>
      </c>
      <c r="AC77" s="9">
        <f t="shared" si="16"/>
        <v>281.84285714285716</v>
      </c>
      <c r="AD77" s="10">
        <f t="shared" si="17"/>
        <v>-218.15714285714284</v>
      </c>
      <c r="AE77" s="10" t="str">
        <f t="shared" si="18"/>
        <v>mg</v>
      </c>
      <c r="AF77" s="11">
        <f t="shared" si="15"/>
        <v>56.368571428571435</v>
      </c>
      <c r="AG77" s="34">
        <f t="shared" si="19"/>
        <v>-218.15714285714284</v>
      </c>
      <c r="AH77" s="15"/>
      <c r="AI77" s="11">
        <f t="shared" si="20"/>
        <v>56.368571428571435</v>
      </c>
    </row>
    <row r="78" spans="1:35" x14ac:dyDescent="0.3">
      <c r="A78" s="14" t="s">
        <v>121</v>
      </c>
      <c r="B78" s="14"/>
      <c r="C78" s="14" t="s">
        <v>30</v>
      </c>
      <c r="D78" s="14"/>
      <c r="E78" s="14">
        <v>750</v>
      </c>
      <c r="F78" s="14"/>
      <c r="G78" s="33">
        <f>IFERROR((inputs!$B$5/100) *'master data '!E77 * inputs!$D$5,0)</f>
        <v>0</v>
      </c>
      <c r="H78" s="13"/>
      <c r="I78" s="33">
        <f>IFERROR((inputs!$B$7/100) *'master data '!G77 * inputs!$D$7,0)</f>
        <v>11.200000000000001</v>
      </c>
      <c r="J78" s="33">
        <f>IFERROR((inputs!$G$6/100) *'master data '!H77 * inputs!$I$6,0)</f>
        <v>0</v>
      </c>
      <c r="K78" s="33">
        <f>IFERROR((inputs!$G$7/100) *'master data '!I77 * inputs!$I$7,0)</f>
        <v>0</v>
      </c>
      <c r="L78" s="28">
        <f>IFERROR((inputs!$G$8/100) *'master data '!J77 * inputs!$I$8,0)</f>
        <v>0</v>
      </c>
      <c r="M78" s="14">
        <f>IFERROR((inputs!$G$10/100) *'master data '!K77 * inputs!$I$10,0)</f>
        <v>0.88000000000000012</v>
      </c>
      <c r="N78" s="14">
        <f>IFERROR((inputs!$G$11/100) *'master data '!L77 * inputs!$I$11,0)</f>
        <v>0</v>
      </c>
      <c r="O78" s="28">
        <f>IFERROR((inputs!$B$15/100) *'master data '!M77 * inputs!$D$15,0)</f>
        <v>0</v>
      </c>
      <c r="P78" s="28">
        <f>IFERROR((inputs!$B$9/100) *'master data '!N77 * inputs!$D$9,0)</f>
        <v>0</v>
      </c>
      <c r="Q78" s="28">
        <f>IFERROR((inputs!$G$5/100) *'master data '!O77 * inputs!$I$5,0)</f>
        <v>0</v>
      </c>
      <c r="R78" s="28">
        <f>IFERROR((inputs!$B$10/100) *'master data '!P77 * inputs!$D$10,0)</f>
        <v>0</v>
      </c>
      <c r="S78" s="28">
        <f>IFERROR((inputs!$B$11/100) *'master data '!Q77 * inputs!$D$11,0)</f>
        <v>0</v>
      </c>
      <c r="T78" s="28">
        <f>IFERROR((inputs!$B$12/100) *'master data '!R77 * inputs!$D$12,0)</f>
        <v>0</v>
      </c>
      <c r="U78" s="28">
        <f>IFERROR((inputs!$B$13/100) *'master data '!S77 * inputs!$D$13,0)</f>
        <v>0</v>
      </c>
      <c r="V78" s="28">
        <f>IFERROR((inputs!$B$14/100) *'master data '!T77 * inputs!$D$14,0)</f>
        <v>0</v>
      </c>
      <c r="W78" s="28"/>
      <c r="X78" s="28"/>
      <c r="Y78" s="28"/>
      <c r="Z78" s="28"/>
      <c r="AA78" s="28"/>
      <c r="AB78" s="29">
        <f t="shared" si="14"/>
        <v>12.080000000000002</v>
      </c>
      <c r="AC78" s="9">
        <f t="shared" si="16"/>
        <v>1.725714285714286</v>
      </c>
      <c r="AD78" s="10">
        <f t="shared" si="17"/>
        <v>1.725714285714286</v>
      </c>
      <c r="AE78" s="10" t="str">
        <f t="shared" si="18"/>
        <v>mg</v>
      </c>
      <c r="AF78" s="11" t="str">
        <f t="shared" si="15"/>
        <v>N/A</v>
      </c>
      <c r="AG78" s="34">
        <f t="shared" si="19"/>
        <v>-748.27428571428572</v>
      </c>
      <c r="AH78" s="15"/>
      <c r="AI78" s="11">
        <f t="shared" si="20"/>
        <v>0.23009523809523813</v>
      </c>
    </row>
    <row r="79" spans="1:35" x14ac:dyDescent="0.3">
      <c r="A79" s="14" t="s">
        <v>122</v>
      </c>
      <c r="B79" s="14"/>
      <c r="C79" s="14" t="s">
        <v>30</v>
      </c>
      <c r="D79" s="14"/>
      <c r="E79" s="14">
        <v>1000</v>
      </c>
      <c r="F79" s="14"/>
      <c r="G79" s="33">
        <f>IFERROR((inputs!$B$5/100) *'master data '!E78 * inputs!$D$5,0)</f>
        <v>0</v>
      </c>
      <c r="H79" s="13"/>
      <c r="I79" s="33">
        <f>IFERROR((inputs!$B$7/100) *'master data '!G78 * inputs!$D$7,0)</f>
        <v>2.8000000000000003</v>
      </c>
      <c r="J79" s="33">
        <f>IFERROR((inputs!$G$6/100) *'master data '!H78 * inputs!$I$6,0)</f>
        <v>0</v>
      </c>
      <c r="K79" s="33">
        <f>IFERROR((inputs!$G$7/100) *'master data '!I78 * inputs!$I$7,0)</f>
        <v>0</v>
      </c>
      <c r="L79" s="28">
        <f>IFERROR((inputs!$G$8/100) *'master data '!J78 * inputs!$I$8,0)</f>
        <v>0</v>
      </c>
      <c r="M79" s="14">
        <f>IFERROR((inputs!$G$10/100) *'master data '!K78 * inputs!$I$10,0)</f>
        <v>0.88000000000000012</v>
      </c>
      <c r="N79" s="14">
        <f>IFERROR((inputs!$G$11/100) *'master data '!L78 * inputs!$I$11,0)</f>
        <v>0</v>
      </c>
      <c r="O79" s="28">
        <f>IFERROR((inputs!$B$15/100) *'master data '!M78 * inputs!$D$15,0)</f>
        <v>0</v>
      </c>
      <c r="P79" s="28">
        <f>IFERROR((inputs!$B$9/100) *'master data '!N78 * inputs!$D$9,0)</f>
        <v>0</v>
      </c>
      <c r="Q79" s="28">
        <f>IFERROR((inputs!$G$5/100) *'master data '!O78 * inputs!$I$5,0)</f>
        <v>0</v>
      </c>
      <c r="R79" s="28">
        <f>IFERROR((inputs!$B$10/100) *'master data '!P78 * inputs!$D$10,0)</f>
        <v>0</v>
      </c>
      <c r="S79" s="28">
        <f>IFERROR((inputs!$B$11/100) *'master data '!Q78 * inputs!$D$11,0)</f>
        <v>0</v>
      </c>
      <c r="T79" s="28">
        <f>IFERROR((inputs!$B$12/100) *'master data '!R78 * inputs!$D$12,0)</f>
        <v>0</v>
      </c>
      <c r="U79" s="28">
        <f>IFERROR((inputs!$B$13/100) *'master data '!S78 * inputs!$D$13,0)</f>
        <v>0</v>
      </c>
      <c r="V79" s="28">
        <f>IFERROR((inputs!$B$14/100) *'master data '!T78 * inputs!$D$14,0)</f>
        <v>0</v>
      </c>
      <c r="W79" s="28"/>
      <c r="X79" s="28"/>
      <c r="Y79" s="28"/>
      <c r="Z79" s="28"/>
      <c r="AA79" s="28"/>
      <c r="AB79" s="29">
        <f t="shared" si="14"/>
        <v>3.6800000000000006</v>
      </c>
      <c r="AC79" s="9">
        <f t="shared" si="16"/>
        <v>0.5257142857142858</v>
      </c>
      <c r="AD79" s="10">
        <f t="shared" si="17"/>
        <v>0.5257142857142858</v>
      </c>
      <c r="AE79" s="10" t="str">
        <f t="shared" si="18"/>
        <v>mg</v>
      </c>
      <c r="AF79" s="11" t="str">
        <f t="shared" si="15"/>
        <v>N/A</v>
      </c>
      <c r="AG79" s="34">
        <f t="shared" si="19"/>
        <v>-999.47428571428577</v>
      </c>
      <c r="AH79" s="15"/>
      <c r="AI79" s="11">
        <f t="shared" si="20"/>
        <v>5.2571428571428581E-2</v>
      </c>
    </row>
    <row r="80" spans="1:35" x14ac:dyDescent="0.3">
      <c r="A80" s="14" t="s">
        <v>123</v>
      </c>
      <c r="B80" s="14"/>
      <c r="C80" s="14" t="s">
        <v>30</v>
      </c>
      <c r="D80" s="14"/>
      <c r="E80" s="14">
        <v>20</v>
      </c>
      <c r="F80" s="14"/>
      <c r="G80" s="33">
        <f>IFERROR((inputs!$B$5/100) *'master data '!E79 * inputs!$D$5,0)</f>
        <v>0</v>
      </c>
      <c r="H80" s="13"/>
      <c r="I80" s="33">
        <f>IFERROR((inputs!$B$7/100) *'master data '!G79 * inputs!$D$7,0)</f>
        <v>0</v>
      </c>
      <c r="J80" s="33">
        <f>IFERROR((inputs!$G$6/100) *'master data '!H79 * inputs!$I$6,0)</f>
        <v>0</v>
      </c>
      <c r="K80" s="33">
        <f>IFERROR((inputs!$G$7/100) *'master data '!I79 * inputs!$I$7,0)</f>
        <v>0</v>
      </c>
      <c r="L80" s="28">
        <f>IFERROR((inputs!$G$8/100) *'master data '!J79 * inputs!$I$8,0)</f>
        <v>0</v>
      </c>
      <c r="M80" s="14">
        <f>IFERROR((inputs!$G$10/100) *'master data '!K79 * inputs!$I$10,0)</f>
        <v>0</v>
      </c>
      <c r="N80" s="14">
        <f>IFERROR((inputs!$G$11/100) *'master data '!L79 * inputs!$I$11,0)</f>
        <v>0</v>
      </c>
      <c r="O80" s="28">
        <f>IFERROR((inputs!$B$15/100) *'master data '!M79 * inputs!$D$15,0)</f>
        <v>0</v>
      </c>
      <c r="P80" s="28">
        <f>IFERROR((inputs!$B$9/100) *'master data '!N79 * inputs!$D$9,0)</f>
        <v>0</v>
      </c>
      <c r="Q80" s="28">
        <f>IFERROR((inputs!$G$5/100) *'master data '!O79 * inputs!$I$5,0)</f>
        <v>0</v>
      </c>
      <c r="R80" s="28">
        <f>IFERROR((inputs!$B$10/100) *'master data '!P79 * inputs!$D$10,0)</f>
        <v>0</v>
      </c>
      <c r="S80" s="28">
        <f>IFERROR((inputs!$B$11/100) *'master data '!Q79 * inputs!$D$11,0)</f>
        <v>0</v>
      </c>
      <c r="T80" s="28">
        <f>IFERROR((inputs!$B$12/100) *'master data '!R79 * inputs!$D$12,0)</f>
        <v>0</v>
      </c>
      <c r="U80" s="28">
        <f>IFERROR((inputs!$B$13/100) *'master data '!S79 * inputs!$D$13,0)</f>
        <v>0</v>
      </c>
      <c r="V80" s="28">
        <f>IFERROR((inputs!$B$14/100) *'master data '!T79 * inputs!$D$14,0)</f>
        <v>0</v>
      </c>
      <c r="W80" s="28"/>
      <c r="X80" s="28"/>
      <c r="Y80" s="28"/>
      <c r="Z80" s="28"/>
      <c r="AA80" s="28"/>
      <c r="AB80" s="29">
        <f t="shared" si="14"/>
        <v>0</v>
      </c>
      <c r="AC80" s="9">
        <f t="shared" si="16"/>
        <v>0</v>
      </c>
      <c r="AD80" s="10">
        <f t="shared" si="17"/>
        <v>0</v>
      </c>
      <c r="AE80" s="10" t="str">
        <f t="shared" si="18"/>
        <v>mg</v>
      </c>
      <c r="AF80" s="11" t="str">
        <f t="shared" si="15"/>
        <v>N/A</v>
      </c>
      <c r="AG80" s="34">
        <f t="shared" si="19"/>
        <v>-20</v>
      </c>
      <c r="AH80" s="15"/>
      <c r="AI80" s="11">
        <f t="shared" si="20"/>
        <v>0</v>
      </c>
    </row>
    <row r="81" spans="1:35" x14ac:dyDescent="0.3">
      <c r="A81" s="14" t="s">
        <v>124</v>
      </c>
      <c r="B81" s="14"/>
      <c r="C81" s="14" t="s">
        <v>30</v>
      </c>
      <c r="D81" s="14">
        <v>400</v>
      </c>
      <c r="E81" s="14">
        <v>1200</v>
      </c>
      <c r="F81" s="14"/>
      <c r="G81" s="33">
        <f>IFERROR((inputs!$B$5/100) *'master data '!E80 * inputs!$D$5,0)</f>
        <v>0</v>
      </c>
      <c r="H81" s="13"/>
      <c r="I81" s="33">
        <f>IFERROR((inputs!$B$7/100) *'master data '!G80 * inputs!$D$7,0)</f>
        <v>7</v>
      </c>
      <c r="J81" s="33">
        <f>IFERROR((inputs!$G$6/100) *'master data '!H80 * inputs!$I$6,0)</f>
        <v>71.399999999999991</v>
      </c>
      <c r="K81" s="33">
        <f>IFERROR((inputs!$G$7/100) *'master data '!I80 * inputs!$I$7,0)</f>
        <v>2.8000000000000003</v>
      </c>
      <c r="L81" s="28">
        <f>IFERROR((inputs!$G$8/100) *'master data '!J80 * inputs!$I$8,0)</f>
        <v>0.63000000000000012</v>
      </c>
      <c r="M81" s="14">
        <f>IFERROR((inputs!$G$10/100) *'master data '!K80 * inputs!$I$10,0)</f>
        <v>3.5200000000000005</v>
      </c>
      <c r="N81" s="14">
        <f>IFERROR((inputs!$G$11/100) *'master data '!L80 * inputs!$I$11,0)</f>
        <v>0</v>
      </c>
      <c r="O81" s="28">
        <f>IFERROR((inputs!$B$15/100) *'master data '!M80 * inputs!$D$15,0)</f>
        <v>100</v>
      </c>
      <c r="P81" s="28">
        <f>IFERROR((inputs!$B$9/100) *'master data '!N80 * inputs!$D$9,0)</f>
        <v>37.5</v>
      </c>
      <c r="Q81" s="28">
        <f>IFERROR((inputs!$G$5/100) *'master data '!O80 * inputs!$I$5,0)</f>
        <v>0</v>
      </c>
      <c r="R81" s="28">
        <f>IFERROR((inputs!$B$10/100) *'master data '!P80 * inputs!$D$10,0)</f>
        <v>0</v>
      </c>
      <c r="S81" s="28">
        <f>IFERROR((inputs!$B$11/100) *'master data '!Q80 * inputs!$D$11,0)</f>
        <v>0</v>
      </c>
      <c r="T81" s="28">
        <f>IFERROR((inputs!$B$12/100) *'master data '!R80 * inputs!$D$12,0)</f>
        <v>0</v>
      </c>
      <c r="U81" s="28">
        <f>IFERROR((inputs!$B$13/100) *'master data '!S80 * inputs!$D$13,0)</f>
        <v>0</v>
      </c>
      <c r="V81" s="28">
        <f>IFERROR((inputs!$B$14/100) *'master data '!T80 * inputs!$D$14,0)</f>
        <v>0</v>
      </c>
      <c r="W81" s="28"/>
      <c r="X81" s="28"/>
      <c r="Y81" s="28"/>
      <c r="Z81" s="28"/>
      <c r="AA81" s="28"/>
      <c r="AB81" s="29">
        <f t="shared" si="14"/>
        <v>222.84999999999997</v>
      </c>
      <c r="AC81" s="9">
        <f t="shared" si="16"/>
        <v>31.835714285714282</v>
      </c>
      <c r="AD81" s="10">
        <f t="shared" si="17"/>
        <v>-368.16428571428571</v>
      </c>
      <c r="AE81" s="10" t="str">
        <f t="shared" si="18"/>
        <v>mg</v>
      </c>
      <c r="AF81" s="11">
        <f t="shared" si="15"/>
        <v>7.9589285714285714</v>
      </c>
      <c r="AG81" s="34">
        <f t="shared" si="19"/>
        <v>-1168.1642857142858</v>
      </c>
      <c r="AH81" s="15"/>
      <c r="AI81" s="11">
        <f t="shared" si="20"/>
        <v>2.6529761904761902</v>
      </c>
    </row>
    <row r="82" spans="1:35" s="17" customFormat="1" x14ac:dyDescent="0.3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</row>
    <row r="83" spans="1:35" x14ac:dyDescent="0.3">
      <c r="A83" s="14" t="s">
        <v>125</v>
      </c>
      <c r="B83" s="14" t="s">
        <v>126</v>
      </c>
      <c r="C83" s="14" t="s">
        <v>30</v>
      </c>
      <c r="D83" s="14"/>
      <c r="E83" s="14">
        <v>250</v>
      </c>
      <c r="F83" s="14"/>
      <c r="G83" s="33">
        <f>IFERROR((inputs!$B$5/100) *'master data '!E82 * inputs!$D$5,0)</f>
        <v>0</v>
      </c>
      <c r="H83" s="13"/>
      <c r="I83" s="33">
        <f>IFERROR((inputs!$B$7/100) *'master data '!G82 * inputs!$D$7,0)</f>
        <v>0</v>
      </c>
      <c r="J83" s="33">
        <f>IFERROR((inputs!$G$6/100) *'master data '!H82 * inputs!$I$6,0)</f>
        <v>0</v>
      </c>
      <c r="K83" s="33">
        <f>IFERROR((inputs!$G$7/100) *'master data '!I82 * inputs!$I$7,0)</f>
        <v>0</v>
      </c>
      <c r="L83" s="28">
        <f>IFERROR((inputs!$G$8/100) *'master data '!J82 * inputs!$I$8,0)</f>
        <v>0</v>
      </c>
      <c r="M83" s="14">
        <f>IFERROR((inputs!$G$10/100) *'master data '!K82 * inputs!$I$10,0)</f>
        <v>0</v>
      </c>
      <c r="N83" s="14">
        <f>IFERROR((inputs!$G$11/100) *'master data '!L82 * inputs!$I$11,0)</f>
        <v>0</v>
      </c>
      <c r="O83" s="28">
        <f>IFERROR((inputs!$B$15/100) *'master data '!M82 * inputs!$D$15,0)</f>
        <v>0</v>
      </c>
      <c r="P83" s="28">
        <f>IFERROR((inputs!$B$9/100) *'master data '!N82 * inputs!$D$9,0)</f>
        <v>0</v>
      </c>
      <c r="Q83" s="28">
        <f>IFERROR((inputs!$G$5/100) *'master data '!O82 * inputs!$I$5,0)</f>
        <v>0</v>
      </c>
      <c r="R83" s="28">
        <f>IFERROR((inputs!$B$10/100) *'master data '!P82 * inputs!$D$10,0)</f>
        <v>0</v>
      </c>
      <c r="S83" s="28">
        <f>IFERROR((inputs!$B$11/100) *'master data '!Q82 * inputs!$D$11,0)</f>
        <v>0</v>
      </c>
      <c r="T83" s="28">
        <f>IFERROR((inputs!$B$12/100) *'master data '!R82 * inputs!$D$12,0)</f>
        <v>0</v>
      </c>
      <c r="U83" s="28">
        <f>IFERROR((inputs!$B$13/100) *'master data '!S82 * inputs!$D$13,0)</f>
        <v>0</v>
      </c>
      <c r="V83" s="28">
        <f>IFERROR((inputs!$B$14/100) *'master data '!T82 * inputs!$D$14,0)</f>
        <v>0</v>
      </c>
      <c r="W83" s="28"/>
      <c r="X83" s="28"/>
      <c r="Y83" s="28"/>
      <c r="Z83" s="28"/>
      <c r="AA83" s="28"/>
      <c r="AB83" s="29">
        <f t="shared" ref="AB83:AB97" si="21">SUM(G83:Z83)</f>
        <v>0</v>
      </c>
      <c r="AC83" s="9">
        <f t="shared" si="16"/>
        <v>0</v>
      </c>
      <c r="AD83" s="10">
        <f t="shared" ref="AD83:AD97" si="22">AC83 -D83</f>
        <v>0</v>
      </c>
      <c r="AE83" s="10" t="str">
        <f t="shared" ref="AE83:AE97" si="23">C83</f>
        <v>mg</v>
      </c>
      <c r="AF83" s="11" t="str">
        <f t="shared" si="15"/>
        <v>N/A</v>
      </c>
      <c r="AG83" s="34">
        <f t="shared" ref="AG83:AG97" si="24">AC83 -E83</f>
        <v>-250</v>
      </c>
      <c r="AH83" s="15"/>
      <c r="AI83" s="11">
        <f t="shared" ref="AI83:AI97" si="25">AC83 /E83*100</f>
        <v>0</v>
      </c>
    </row>
    <row r="84" spans="1:35" x14ac:dyDescent="0.3">
      <c r="A84" s="14" t="s">
        <v>127</v>
      </c>
      <c r="B84" s="14" t="s">
        <v>128</v>
      </c>
      <c r="C84" s="14" t="s">
        <v>30</v>
      </c>
      <c r="D84" s="14"/>
      <c r="E84" s="14">
        <v>100</v>
      </c>
      <c r="F84" s="14"/>
      <c r="G84" s="33">
        <f>IFERROR((inputs!$B$5/100) *'master data '!E83 * inputs!$D$5,0)</f>
        <v>0</v>
      </c>
      <c r="H84" s="13"/>
      <c r="I84" s="33">
        <f>IFERROR((inputs!$B$7/100) *'master data '!G83 * inputs!$D$7,0)</f>
        <v>0</v>
      </c>
      <c r="J84" s="33">
        <f>IFERROR((inputs!$G$6/100) *'master data '!H83 * inputs!$I$6,0)</f>
        <v>0</v>
      </c>
      <c r="K84" s="33">
        <f>IFERROR((inputs!$G$7/100) *'master data '!I83 * inputs!$I$7,0)</f>
        <v>0</v>
      </c>
      <c r="L84" s="28">
        <f>IFERROR((inputs!$G$8/100) *'master data '!J83 * inputs!$I$8,0)</f>
        <v>0</v>
      </c>
      <c r="M84" s="14">
        <f>IFERROR((inputs!$G$10/100) *'master data '!K83 * inputs!$I$10,0)</f>
        <v>0</v>
      </c>
      <c r="N84" s="14">
        <f>IFERROR((inputs!$G$11/100) *'master data '!L83 * inputs!$I$11,0)</f>
        <v>0</v>
      </c>
      <c r="O84" s="28">
        <f>IFERROR((inputs!$B$15/100) *'master data '!M83 * inputs!$D$15,0)</f>
        <v>0</v>
      </c>
      <c r="P84" s="28">
        <f>IFERROR((inputs!$B$9/100) *'master data '!N83 * inputs!$D$9,0)</f>
        <v>0</v>
      </c>
      <c r="Q84" s="28">
        <f>IFERROR((inputs!$G$5/100) *'master data '!O83 * inputs!$I$5,0)</f>
        <v>0</v>
      </c>
      <c r="R84" s="28">
        <f>IFERROR((inputs!$B$10/100) *'master data '!P83 * inputs!$D$10,0)</f>
        <v>0</v>
      </c>
      <c r="S84" s="28">
        <f>IFERROR((inputs!$B$11/100) *'master data '!Q83 * inputs!$D$11,0)</f>
        <v>0</v>
      </c>
      <c r="T84" s="28">
        <f>IFERROR((inputs!$B$12/100) *'master data '!R83 * inputs!$D$12,0)</f>
        <v>0</v>
      </c>
      <c r="U84" s="28">
        <f>IFERROR((inputs!$B$13/100) *'master data '!S83 * inputs!$D$13,0)</f>
        <v>0</v>
      </c>
      <c r="V84" s="28">
        <f>IFERROR((inputs!$B$14/100) *'master data '!T83 * inputs!$D$14,0)</f>
        <v>0</v>
      </c>
      <c r="W84" s="28"/>
      <c r="X84" s="28"/>
      <c r="Y84" s="28"/>
      <c r="Z84" s="28"/>
      <c r="AA84" s="28"/>
      <c r="AB84" s="29">
        <f t="shared" si="21"/>
        <v>0</v>
      </c>
      <c r="AC84" s="9">
        <f t="shared" si="16"/>
        <v>0</v>
      </c>
      <c r="AD84" s="10">
        <f t="shared" si="22"/>
        <v>0</v>
      </c>
      <c r="AE84" s="15" t="str">
        <f t="shared" si="23"/>
        <v>mg</v>
      </c>
      <c r="AF84" s="11" t="str">
        <f t="shared" si="15"/>
        <v>N/A</v>
      </c>
      <c r="AG84" s="34">
        <f t="shared" si="24"/>
        <v>-100</v>
      </c>
      <c r="AH84" s="15"/>
      <c r="AI84" s="11">
        <f t="shared" si="25"/>
        <v>0</v>
      </c>
    </row>
    <row r="85" spans="1:35" x14ac:dyDescent="0.3">
      <c r="A85" s="14" t="s">
        <v>129</v>
      </c>
      <c r="B85" s="14" t="s">
        <v>128</v>
      </c>
      <c r="C85" s="14" t="s">
        <v>30</v>
      </c>
      <c r="D85" s="14"/>
      <c r="E85" s="14">
        <v>200</v>
      </c>
      <c r="F85" s="14"/>
      <c r="G85" s="33">
        <f>IFERROR((inputs!$B$5/100) *'master data '!E84 * inputs!$D$5,0)</f>
        <v>0</v>
      </c>
      <c r="H85" s="13"/>
      <c r="I85" s="33">
        <f>IFERROR((inputs!$B$7/100) *'master data '!G84 * inputs!$D$7,0)</f>
        <v>0</v>
      </c>
      <c r="J85" s="33">
        <f>IFERROR((inputs!$G$6/100) *'master data '!H84 * inputs!$I$6,0)</f>
        <v>0</v>
      </c>
      <c r="K85" s="33">
        <f>IFERROR((inputs!$G$7/100) *'master data '!I84 * inputs!$I$7,0)</f>
        <v>0</v>
      </c>
      <c r="L85" s="28">
        <f>IFERROR((inputs!$G$8/100) *'master data '!J84 * inputs!$I$8,0)</f>
        <v>0</v>
      </c>
      <c r="M85" s="14">
        <f>IFERROR((inputs!$G$10/100) *'master data '!K84 * inputs!$I$10,0)</f>
        <v>0</v>
      </c>
      <c r="N85" s="14">
        <f>IFERROR((inputs!$G$11/100) *'master data '!L84 * inputs!$I$11,0)</f>
        <v>0</v>
      </c>
      <c r="O85" s="28">
        <f>IFERROR((inputs!$B$15/100) *'master data '!M84 * inputs!$D$15,0)</f>
        <v>0</v>
      </c>
      <c r="P85" s="28">
        <f>IFERROR((inputs!$B$9/100) *'master data '!N84 * inputs!$D$9,0)</f>
        <v>0</v>
      </c>
      <c r="Q85" s="28">
        <f>IFERROR((inputs!$G$5/100) *'master data '!O84 * inputs!$I$5,0)</f>
        <v>0</v>
      </c>
      <c r="R85" s="28">
        <f>IFERROR((inputs!$B$10/100) *'master data '!P84 * inputs!$D$10,0)</f>
        <v>0</v>
      </c>
      <c r="S85" s="28">
        <f>IFERROR((inputs!$B$11/100) *'master data '!Q84 * inputs!$D$11,0)</f>
        <v>0</v>
      </c>
      <c r="T85" s="28">
        <f>IFERROR((inputs!$B$12/100) *'master data '!R84 * inputs!$D$12,0)</f>
        <v>0</v>
      </c>
      <c r="U85" s="28">
        <f>IFERROR((inputs!$B$13/100) *'master data '!S84 * inputs!$D$13,0)</f>
        <v>0</v>
      </c>
      <c r="V85" s="28">
        <f>IFERROR((inputs!$B$14/100) *'master data '!T84 * inputs!$D$14,0)</f>
        <v>0</v>
      </c>
      <c r="W85" s="28"/>
      <c r="X85" s="28"/>
      <c r="Y85" s="28"/>
      <c r="Z85" s="28"/>
      <c r="AA85" s="28"/>
      <c r="AB85" s="29">
        <f t="shared" si="21"/>
        <v>0</v>
      </c>
      <c r="AC85" s="9">
        <f t="shared" si="16"/>
        <v>0</v>
      </c>
      <c r="AD85" s="10">
        <f t="shared" si="22"/>
        <v>0</v>
      </c>
      <c r="AE85" s="15" t="str">
        <f t="shared" si="23"/>
        <v>mg</v>
      </c>
      <c r="AF85" s="11" t="str">
        <f t="shared" si="15"/>
        <v>N/A</v>
      </c>
      <c r="AG85" s="34">
        <f t="shared" si="24"/>
        <v>-200</v>
      </c>
      <c r="AH85" s="15"/>
      <c r="AI85" s="11">
        <f t="shared" si="25"/>
        <v>0</v>
      </c>
    </row>
    <row r="86" spans="1:35" x14ac:dyDescent="0.3">
      <c r="A86" s="14" t="s">
        <v>130</v>
      </c>
      <c r="B86" s="14" t="s">
        <v>128</v>
      </c>
      <c r="C86" s="14" t="s">
        <v>30</v>
      </c>
      <c r="D86" s="14"/>
      <c r="E86" s="14">
        <v>175</v>
      </c>
      <c r="F86" s="14"/>
      <c r="G86" s="33">
        <f>IFERROR((inputs!$B$5/100) *'master data '!E85 * inputs!$D$5,0)</f>
        <v>0</v>
      </c>
      <c r="H86" s="13"/>
      <c r="I86" s="33">
        <f>IFERROR((inputs!$B$7/100) *'master data '!G85 * inputs!$D$7,0)</f>
        <v>0</v>
      </c>
      <c r="J86" s="33">
        <f>IFERROR((inputs!$G$6/100) *'master data '!H85 * inputs!$I$6,0)</f>
        <v>0</v>
      </c>
      <c r="K86" s="33">
        <f>IFERROR((inputs!$G$7/100) *'master data '!I85 * inputs!$I$7,0)</f>
        <v>0</v>
      </c>
      <c r="L86" s="28">
        <f>IFERROR((inputs!$G$8/100) *'master data '!J85 * inputs!$I$8,0)</f>
        <v>0</v>
      </c>
      <c r="M86" s="14">
        <f>IFERROR((inputs!$G$10/100) *'master data '!K85 * inputs!$I$10,0)</f>
        <v>0</v>
      </c>
      <c r="N86" s="14">
        <f>IFERROR((inputs!$G$11/100) *'master data '!L85 * inputs!$I$11,0)</f>
        <v>0</v>
      </c>
      <c r="O86" s="28">
        <f>IFERROR((inputs!$B$15/100) *'master data '!M85 * inputs!$D$15,0)</f>
        <v>0</v>
      </c>
      <c r="P86" s="28">
        <f>IFERROR((inputs!$B$9/100) *'master data '!N85 * inputs!$D$9,0)</f>
        <v>0</v>
      </c>
      <c r="Q86" s="28">
        <f>IFERROR((inputs!$G$5/100) *'master data '!O85 * inputs!$I$5,0)</f>
        <v>0</v>
      </c>
      <c r="R86" s="28">
        <f>IFERROR((inputs!$B$10/100) *'master data '!P85 * inputs!$D$10,0)</f>
        <v>0</v>
      </c>
      <c r="S86" s="28">
        <f>IFERROR((inputs!$B$11/100) *'master data '!Q85 * inputs!$D$11,0)</f>
        <v>0</v>
      </c>
      <c r="T86" s="28">
        <f>IFERROR((inputs!$B$12/100) *'master data '!R85 * inputs!$D$12,0)</f>
        <v>0</v>
      </c>
      <c r="U86" s="28">
        <f>IFERROR((inputs!$B$13/100) *'master data '!S85 * inputs!$D$13,0)</f>
        <v>0</v>
      </c>
      <c r="V86" s="28">
        <f>IFERROR((inputs!$B$14/100) *'master data '!T85 * inputs!$D$14,0)</f>
        <v>0</v>
      </c>
      <c r="W86" s="28"/>
      <c r="X86" s="28"/>
      <c r="Y86" s="28"/>
      <c r="Z86" s="28"/>
      <c r="AA86" s="28"/>
      <c r="AB86" s="29">
        <f t="shared" si="21"/>
        <v>0</v>
      </c>
      <c r="AC86" s="9">
        <f t="shared" si="16"/>
        <v>0</v>
      </c>
      <c r="AD86" s="10">
        <f t="shared" si="22"/>
        <v>0</v>
      </c>
      <c r="AE86" s="15" t="str">
        <f t="shared" si="23"/>
        <v>mg</v>
      </c>
      <c r="AF86" s="11" t="str">
        <f t="shared" si="15"/>
        <v>N/A</v>
      </c>
      <c r="AG86" s="34">
        <f t="shared" si="24"/>
        <v>-175</v>
      </c>
      <c r="AH86" s="15"/>
      <c r="AI86" s="11">
        <f t="shared" si="25"/>
        <v>0</v>
      </c>
    </row>
    <row r="87" spans="1:35" x14ac:dyDescent="0.3">
      <c r="A87" s="14" t="s">
        <v>131</v>
      </c>
      <c r="B87" s="14" t="s">
        <v>128</v>
      </c>
      <c r="C87" s="14" t="s">
        <v>30</v>
      </c>
      <c r="D87" s="14"/>
      <c r="E87" s="14">
        <v>500</v>
      </c>
      <c r="F87" s="14"/>
      <c r="G87" s="33">
        <f>IFERROR((inputs!$B$5/100) *'master data '!E86 * inputs!$D$5,0)</f>
        <v>0</v>
      </c>
      <c r="H87" s="13"/>
      <c r="I87" s="33">
        <f>IFERROR((inputs!$B$7/100) *'master data '!G86 * inputs!$D$7,0)</f>
        <v>0</v>
      </c>
      <c r="J87" s="33">
        <f>IFERROR((inputs!$G$6/100) *'master data '!H86 * inputs!$I$6,0)</f>
        <v>16.8</v>
      </c>
      <c r="K87" s="33">
        <f>IFERROR((inputs!$G$7/100) *'master data '!I86 * inputs!$I$7,0)</f>
        <v>3.5000000000000004</v>
      </c>
      <c r="L87" s="28">
        <f>IFERROR((inputs!$G$8/100) *'master data '!J86 * inputs!$I$8,0)</f>
        <v>0.70000000000000007</v>
      </c>
      <c r="M87" s="14">
        <f>IFERROR((inputs!$G$10/100) *'master data '!K86 * inputs!$I$10,0)</f>
        <v>0.88000000000000012</v>
      </c>
      <c r="N87" s="14">
        <f>IFERROR((inputs!$G$11/100) *'master data '!L86 * inputs!$I$11,0)</f>
        <v>0</v>
      </c>
      <c r="O87" s="28">
        <f>IFERROR((inputs!$B$15/100) *'master data '!M86 * inputs!$D$15,0)</f>
        <v>7.5</v>
      </c>
      <c r="P87" s="28">
        <f>IFERROR((inputs!$B$9/100) *'master data '!N86 * inputs!$D$9,0)</f>
        <v>5</v>
      </c>
      <c r="Q87" s="28">
        <f>IFERROR((inputs!$G$5/100) *'master data '!O86 * inputs!$I$5,0)</f>
        <v>0</v>
      </c>
      <c r="R87" s="28">
        <f>IFERROR((inputs!$B$10/100) *'master data '!P86 * inputs!$D$10,0)</f>
        <v>0</v>
      </c>
      <c r="S87" s="28">
        <f>IFERROR((inputs!$B$11/100) *'master data '!Q86 * inputs!$D$11,0)</f>
        <v>0</v>
      </c>
      <c r="T87" s="28">
        <f>IFERROR((inputs!$B$12/100) *'master data '!R86 * inputs!$D$12,0)</f>
        <v>0</v>
      </c>
      <c r="U87" s="28">
        <f>IFERROR((inputs!$B$13/100) *'master data '!S86 * inputs!$D$13,0)</f>
        <v>0</v>
      </c>
      <c r="V87" s="28">
        <f>IFERROR((inputs!$B$14/100) *'master data '!T86 * inputs!$D$14,0)</f>
        <v>0</v>
      </c>
      <c r="W87" s="28"/>
      <c r="X87" s="28"/>
      <c r="Y87" s="28"/>
      <c r="Z87" s="28"/>
      <c r="AA87" s="28"/>
      <c r="AB87" s="29">
        <f t="shared" si="21"/>
        <v>34.379999999999995</v>
      </c>
      <c r="AC87" s="9">
        <f t="shared" si="16"/>
        <v>4.911428571428571</v>
      </c>
      <c r="AD87" s="10">
        <f t="shared" si="22"/>
        <v>4.911428571428571</v>
      </c>
      <c r="AE87" s="15" t="str">
        <f t="shared" si="23"/>
        <v>mg</v>
      </c>
      <c r="AF87" s="11" t="str">
        <f t="shared" si="15"/>
        <v>N/A</v>
      </c>
      <c r="AG87" s="34">
        <f t="shared" si="24"/>
        <v>-495.08857142857141</v>
      </c>
      <c r="AH87" s="15"/>
      <c r="AI87" s="11">
        <f t="shared" si="25"/>
        <v>0.98228571428571421</v>
      </c>
    </row>
    <row r="88" spans="1:35" x14ac:dyDescent="0.3">
      <c r="A88" s="14" t="s">
        <v>132</v>
      </c>
      <c r="B88" s="14" t="s">
        <v>128</v>
      </c>
      <c r="C88" s="14" t="s">
        <v>30</v>
      </c>
      <c r="D88" s="14"/>
      <c r="E88" s="14">
        <v>125</v>
      </c>
      <c r="F88" s="14"/>
      <c r="G88" s="33">
        <f>IFERROR((inputs!$B$5/100) *'master data '!E87 * inputs!$D$5,0)</f>
        <v>0</v>
      </c>
      <c r="H88" s="13"/>
      <c r="I88" s="33">
        <f>IFERROR((inputs!$B$7/100) *'master data '!G87 * inputs!$D$7,0)</f>
        <v>0</v>
      </c>
      <c r="J88" s="33">
        <f>IFERROR((inputs!$G$6/100) *'master data '!H87 * inputs!$I$6,0)</f>
        <v>0</v>
      </c>
      <c r="K88" s="33">
        <f>IFERROR((inputs!$G$7/100) *'master data '!I87 * inputs!$I$7,0)</f>
        <v>0</v>
      </c>
      <c r="L88" s="28">
        <f>IFERROR((inputs!$G$8/100) *'master data '!J87 * inputs!$I$8,0)</f>
        <v>0</v>
      </c>
      <c r="M88" s="14">
        <f>IFERROR((inputs!$G$10/100) *'master data '!K87 * inputs!$I$10,0)</f>
        <v>0</v>
      </c>
      <c r="N88" s="14">
        <f>IFERROR((inputs!$G$11/100) *'master data '!L87 * inputs!$I$11,0)</f>
        <v>0</v>
      </c>
      <c r="O88" s="28">
        <f>IFERROR((inputs!$B$15/100) *'master data '!M87 * inputs!$D$15,0)</f>
        <v>0</v>
      </c>
      <c r="P88" s="28">
        <f>IFERROR((inputs!$B$9/100) *'master data '!N87 * inputs!$D$9,0)</f>
        <v>0</v>
      </c>
      <c r="Q88" s="28">
        <f>IFERROR((inputs!$G$5/100) *'master data '!O87 * inputs!$I$5,0)</f>
        <v>0</v>
      </c>
      <c r="R88" s="28">
        <f>IFERROR((inputs!$B$10/100) *'master data '!P87 * inputs!$D$10,0)</f>
        <v>0</v>
      </c>
      <c r="S88" s="28">
        <f>IFERROR((inputs!$B$11/100) *'master data '!Q87 * inputs!$D$11,0)</f>
        <v>0</v>
      </c>
      <c r="T88" s="28">
        <f>IFERROR((inputs!$B$12/100) *'master data '!R87 * inputs!$D$12,0)</f>
        <v>0</v>
      </c>
      <c r="U88" s="28">
        <f>IFERROR((inputs!$B$13/100) *'master data '!S87 * inputs!$D$13,0)</f>
        <v>0</v>
      </c>
      <c r="V88" s="28">
        <f>IFERROR((inputs!$B$14/100) *'master data '!T87 * inputs!$D$14,0)</f>
        <v>0</v>
      </c>
      <c r="W88" s="28"/>
      <c r="X88" s="28"/>
      <c r="Y88" s="28"/>
      <c r="Z88" s="28"/>
      <c r="AA88" s="28"/>
      <c r="AB88" s="29">
        <f t="shared" si="21"/>
        <v>0</v>
      </c>
      <c r="AC88" s="9">
        <f t="shared" si="16"/>
        <v>0</v>
      </c>
      <c r="AD88" s="10">
        <f t="shared" si="22"/>
        <v>0</v>
      </c>
      <c r="AE88" s="15" t="str">
        <f t="shared" si="23"/>
        <v>mg</v>
      </c>
      <c r="AF88" s="11" t="str">
        <f t="shared" si="15"/>
        <v>N/A</v>
      </c>
      <c r="AG88" s="34">
        <f t="shared" si="24"/>
        <v>-125</v>
      </c>
      <c r="AH88" s="15"/>
      <c r="AI88" s="11">
        <f t="shared" si="25"/>
        <v>0</v>
      </c>
    </row>
    <row r="89" spans="1:35" x14ac:dyDescent="0.3">
      <c r="A89" s="14" t="s">
        <v>133</v>
      </c>
      <c r="B89" s="14" t="s">
        <v>128</v>
      </c>
      <c r="C89" s="14" t="s">
        <v>30</v>
      </c>
      <c r="D89" s="14"/>
      <c r="E89" s="14">
        <v>750</v>
      </c>
      <c r="F89" s="14"/>
      <c r="G89" s="33">
        <f>IFERROR((inputs!$B$5/100) *'master data '!E88 * inputs!$D$5,0)</f>
        <v>0</v>
      </c>
      <c r="H89" s="13"/>
      <c r="I89" s="33">
        <f>IFERROR((inputs!$B$7/100) *'master data '!G88 * inputs!$D$7,0)</f>
        <v>0</v>
      </c>
      <c r="J89" s="33">
        <f>IFERROR((inputs!$G$6/100) *'master data '!H88 * inputs!$I$6,0)</f>
        <v>0</v>
      </c>
      <c r="K89" s="33">
        <f>IFERROR((inputs!$G$7/100) *'master data '!I88 * inputs!$I$7,0)</f>
        <v>0</v>
      </c>
      <c r="L89" s="28">
        <f>IFERROR((inputs!$G$8/100) *'master data '!J88 * inputs!$I$8,0)</f>
        <v>0</v>
      </c>
      <c r="M89" s="14">
        <f>IFERROR((inputs!$G$10/100) *'master data '!K88 * inputs!$I$10,0)</f>
        <v>0</v>
      </c>
      <c r="N89" s="14">
        <f>IFERROR((inputs!$G$11/100) *'master data '!L88 * inputs!$I$11,0)</f>
        <v>0</v>
      </c>
      <c r="O89" s="28">
        <f>IFERROR((inputs!$B$15/100) *'master data '!M88 * inputs!$D$15,0)</f>
        <v>0</v>
      </c>
      <c r="P89" s="28">
        <f>IFERROR((inputs!$B$9/100) *'master data '!N88 * inputs!$D$9,0)</f>
        <v>0</v>
      </c>
      <c r="Q89" s="28">
        <f>IFERROR((inputs!$G$5/100) *'master data '!O88 * inputs!$I$5,0)</f>
        <v>0</v>
      </c>
      <c r="R89" s="28">
        <f>IFERROR((inputs!$B$10/100) *'master data '!P88 * inputs!$D$10,0)</f>
        <v>0</v>
      </c>
      <c r="S89" s="28">
        <f>IFERROR((inputs!$B$11/100) *'master data '!Q88 * inputs!$D$11,0)</f>
        <v>0</v>
      </c>
      <c r="T89" s="28">
        <f>IFERROR((inputs!$B$12/100) *'master data '!R88 * inputs!$D$12,0)</f>
        <v>0</v>
      </c>
      <c r="U89" s="28">
        <f>IFERROR((inputs!$B$13/100) *'master data '!S88 * inputs!$D$13,0)</f>
        <v>0</v>
      </c>
      <c r="V89" s="28">
        <f>IFERROR((inputs!$B$14/100) *'master data '!T88 * inputs!$D$14,0)</f>
        <v>0</v>
      </c>
      <c r="W89" s="28"/>
      <c r="X89" s="28"/>
      <c r="Y89" s="28"/>
      <c r="Z89" s="28"/>
      <c r="AA89" s="28"/>
      <c r="AB89" s="29">
        <f t="shared" si="21"/>
        <v>0</v>
      </c>
      <c r="AC89" s="9">
        <f t="shared" si="16"/>
        <v>0</v>
      </c>
      <c r="AD89" s="10">
        <f t="shared" si="22"/>
        <v>0</v>
      </c>
      <c r="AE89" s="15" t="str">
        <f t="shared" si="23"/>
        <v>mg</v>
      </c>
      <c r="AF89" s="11" t="str">
        <f t="shared" si="15"/>
        <v>N/A</v>
      </c>
      <c r="AG89" s="34">
        <f t="shared" si="24"/>
        <v>-750</v>
      </c>
      <c r="AH89" s="15"/>
      <c r="AI89" s="11">
        <f t="shared" si="25"/>
        <v>0</v>
      </c>
    </row>
    <row r="90" spans="1:35" x14ac:dyDescent="0.3">
      <c r="A90" s="14" t="s">
        <v>134</v>
      </c>
      <c r="B90" s="14" t="s">
        <v>128</v>
      </c>
      <c r="C90" s="14" t="s">
        <v>30</v>
      </c>
      <c r="D90" s="14"/>
      <c r="E90" s="14">
        <v>100</v>
      </c>
      <c r="F90" s="14"/>
      <c r="G90" s="33">
        <f>IFERROR((inputs!$B$5/100) *'master data '!E89 * inputs!$D$5,0)</f>
        <v>0</v>
      </c>
      <c r="H90" s="13"/>
      <c r="I90" s="33">
        <f>IFERROR((inputs!$B$7/100) *'master data '!G89 * inputs!$D$7,0)</f>
        <v>0</v>
      </c>
      <c r="J90" s="33">
        <f>IFERROR((inputs!$G$6/100) *'master data '!H89 * inputs!$I$6,0)</f>
        <v>0</v>
      </c>
      <c r="K90" s="33">
        <f>IFERROR((inputs!$G$7/100) *'master data '!I89 * inputs!$I$7,0)</f>
        <v>0</v>
      </c>
      <c r="L90" s="28">
        <f>IFERROR((inputs!$G$8/100) *'master data '!J89 * inputs!$I$8,0)</f>
        <v>0</v>
      </c>
      <c r="M90" s="14">
        <f>IFERROR((inputs!$G$10/100) *'master data '!K89 * inputs!$I$10,0)</f>
        <v>0</v>
      </c>
      <c r="N90" s="14">
        <f>IFERROR((inputs!$G$11/100) *'master data '!L89 * inputs!$I$11,0)</f>
        <v>0</v>
      </c>
      <c r="O90" s="28">
        <f>IFERROR((inputs!$B$15/100) *'master data '!M89 * inputs!$D$15,0)</f>
        <v>0</v>
      </c>
      <c r="P90" s="28">
        <f>IFERROR((inputs!$B$9/100) *'master data '!N89 * inputs!$D$9,0)</f>
        <v>0</v>
      </c>
      <c r="Q90" s="28">
        <f>IFERROR((inputs!$G$5/100) *'master data '!O89 * inputs!$I$5,0)</f>
        <v>0</v>
      </c>
      <c r="R90" s="28">
        <f>IFERROR((inputs!$B$10/100) *'master data '!P89 * inputs!$D$10,0)</f>
        <v>0</v>
      </c>
      <c r="S90" s="28">
        <f>IFERROR((inputs!$B$11/100) *'master data '!Q89 * inputs!$D$11,0)</f>
        <v>0</v>
      </c>
      <c r="T90" s="28">
        <f>IFERROR((inputs!$B$12/100) *'master data '!R89 * inputs!$D$12,0)</f>
        <v>0</v>
      </c>
      <c r="U90" s="28">
        <f>IFERROR((inputs!$B$13/100) *'master data '!S89 * inputs!$D$13,0)</f>
        <v>0</v>
      </c>
      <c r="V90" s="28">
        <f>IFERROR((inputs!$B$14/100) *'master data '!T89 * inputs!$D$14,0)</f>
        <v>0</v>
      </c>
      <c r="W90" s="28"/>
      <c r="X90" s="28"/>
      <c r="Y90" s="28"/>
      <c r="Z90" s="28"/>
      <c r="AA90" s="28"/>
      <c r="AB90" s="29">
        <f t="shared" si="21"/>
        <v>0</v>
      </c>
      <c r="AC90" s="9">
        <f t="shared" si="16"/>
        <v>0</v>
      </c>
      <c r="AD90" s="10">
        <f t="shared" si="22"/>
        <v>0</v>
      </c>
      <c r="AE90" s="15" t="str">
        <f t="shared" si="23"/>
        <v>mg</v>
      </c>
      <c r="AF90" s="11" t="str">
        <f t="shared" si="15"/>
        <v>N/A</v>
      </c>
      <c r="AG90" s="34">
        <f t="shared" si="24"/>
        <v>-100</v>
      </c>
      <c r="AH90" s="15"/>
      <c r="AI90" s="11">
        <f t="shared" si="25"/>
        <v>0</v>
      </c>
    </row>
    <row r="91" spans="1:35" x14ac:dyDescent="0.3">
      <c r="A91" s="14" t="s">
        <v>135</v>
      </c>
      <c r="B91" s="14" t="s">
        <v>128</v>
      </c>
      <c r="C91" s="14" t="s">
        <v>30</v>
      </c>
      <c r="D91" s="14"/>
      <c r="E91" s="14">
        <v>200</v>
      </c>
      <c r="F91" s="14"/>
      <c r="G91" s="33">
        <f>IFERROR((inputs!$B$5/100) *'master data '!E90 * inputs!$D$5,0)</f>
        <v>0</v>
      </c>
      <c r="H91" s="13"/>
      <c r="I91" s="33">
        <f>IFERROR((inputs!$B$7/100) *'master data '!G90 * inputs!$D$7,0)</f>
        <v>0</v>
      </c>
      <c r="J91" s="33">
        <f>IFERROR((inputs!$G$6/100) *'master data '!H90 * inputs!$I$6,0)</f>
        <v>10.5</v>
      </c>
      <c r="K91" s="33">
        <f>IFERROR((inputs!$G$7/100) *'master data '!I90 * inputs!$I$7,0)</f>
        <v>0.35000000000000003</v>
      </c>
      <c r="L91" s="28">
        <f>IFERROR((inputs!$G$8/100) *'master data '!J90 * inputs!$I$8,0)</f>
        <v>7.0000000000000007E-2</v>
      </c>
      <c r="M91" s="14">
        <f>IFERROR((inputs!$G$10/100) *'master data '!K90 * inputs!$I$10,0)</f>
        <v>0</v>
      </c>
      <c r="N91" s="14">
        <f>IFERROR((inputs!$G$11/100) *'master data '!L90 * inputs!$I$11,0)</f>
        <v>0</v>
      </c>
      <c r="O91" s="28">
        <f>IFERROR((inputs!$B$15/100) *'master data '!M90 * inputs!$D$15,0)</f>
        <v>2.5</v>
      </c>
      <c r="P91" s="28">
        <f>IFERROR((inputs!$B$9/100) *'master data '!N90 * inputs!$D$9,0)</f>
        <v>2.5</v>
      </c>
      <c r="Q91" s="28">
        <f>IFERROR((inputs!$G$5/100) *'master data '!O90 * inputs!$I$5,0)</f>
        <v>0</v>
      </c>
      <c r="R91" s="28">
        <f>IFERROR((inputs!$B$10/100) *'master data '!P90 * inputs!$D$10,0)</f>
        <v>0</v>
      </c>
      <c r="S91" s="28">
        <f>IFERROR((inputs!$B$11/100) *'master data '!Q90 * inputs!$D$11,0)</f>
        <v>0</v>
      </c>
      <c r="T91" s="28">
        <f>IFERROR((inputs!$B$12/100) *'master data '!R90 * inputs!$D$12,0)</f>
        <v>0</v>
      </c>
      <c r="U91" s="28">
        <f>IFERROR((inputs!$B$13/100) *'master data '!S90 * inputs!$D$13,0)</f>
        <v>0</v>
      </c>
      <c r="V91" s="28">
        <f>IFERROR((inputs!$B$14/100) *'master data '!T90 * inputs!$D$14,0)</f>
        <v>0</v>
      </c>
      <c r="W91" s="28"/>
      <c r="X91" s="28"/>
      <c r="Y91" s="28"/>
      <c r="Z91" s="28"/>
      <c r="AA91" s="28"/>
      <c r="AB91" s="29">
        <f t="shared" si="21"/>
        <v>15.92</v>
      </c>
      <c r="AC91" s="9">
        <f t="shared" si="16"/>
        <v>2.2742857142857145</v>
      </c>
      <c r="AD91" s="10">
        <f t="shared" si="22"/>
        <v>2.2742857142857145</v>
      </c>
      <c r="AE91" s="15" t="str">
        <f t="shared" si="23"/>
        <v>mg</v>
      </c>
      <c r="AF91" s="11" t="str">
        <f t="shared" si="15"/>
        <v>N/A</v>
      </c>
      <c r="AG91" s="34">
        <f t="shared" si="24"/>
        <v>-197.72571428571428</v>
      </c>
      <c r="AH91" s="15"/>
      <c r="AI91" s="11">
        <f t="shared" si="25"/>
        <v>1.1371428571428572</v>
      </c>
    </row>
    <row r="92" spans="1:35" x14ac:dyDescent="0.3">
      <c r="A92" s="14" t="s">
        <v>136</v>
      </c>
      <c r="B92" s="14" t="s">
        <v>137</v>
      </c>
      <c r="C92" s="14" t="s">
        <v>30</v>
      </c>
      <c r="D92" s="14"/>
      <c r="E92" s="14">
        <v>75</v>
      </c>
      <c r="F92" s="14"/>
      <c r="G92" s="33">
        <f>IFERROR((inputs!$B$5/100) *'master data '!E91 * inputs!$D$5,0)</f>
        <v>0</v>
      </c>
      <c r="H92" s="13"/>
      <c r="I92" s="33">
        <f>IFERROR((inputs!$B$7/100) *'master data '!G91 * inputs!$D$7,0)</f>
        <v>0</v>
      </c>
      <c r="J92" s="33">
        <f>IFERROR((inputs!$G$6/100) *'master data '!H91 * inputs!$I$6,0)</f>
        <v>0</v>
      </c>
      <c r="K92" s="33">
        <f>IFERROR((inputs!$G$7/100) *'master data '!I91 * inputs!$I$7,0)</f>
        <v>0</v>
      </c>
      <c r="L92" s="28">
        <f>IFERROR((inputs!$G$8/100) *'master data '!J91 * inputs!$I$8,0)</f>
        <v>0</v>
      </c>
      <c r="M92" s="14">
        <f>IFERROR((inputs!$G$10/100) *'master data '!K91 * inputs!$I$10,0)</f>
        <v>0</v>
      </c>
      <c r="N92" s="14">
        <f>IFERROR((inputs!$G$11/100) *'master data '!L91 * inputs!$I$11,0)</f>
        <v>0</v>
      </c>
      <c r="O92" s="28">
        <f>IFERROR((inputs!$B$15/100) *'master data '!M91 * inputs!$D$15,0)</f>
        <v>375</v>
      </c>
      <c r="P92" s="28">
        <f>IFERROR((inputs!$B$9/100) *'master data '!N91 * inputs!$D$9,0)</f>
        <v>0</v>
      </c>
      <c r="Q92" s="28">
        <f>IFERROR((inputs!$G$5/100) *'master data '!O91 * inputs!$I$5,0)</f>
        <v>0</v>
      </c>
      <c r="R92" s="28">
        <f>IFERROR((inputs!$B$10/100) *'master data '!P91 * inputs!$D$10,0)</f>
        <v>0</v>
      </c>
      <c r="S92" s="28">
        <f>IFERROR((inputs!$B$11/100) *'master data '!Q91 * inputs!$D$11,0)</f>
        <v>0</v>
      </c>
      <c r="T92" s="28">
        <f>IFERROR((inputs!$B$12/100) *'master data '!R91 * inputs!$D$12,0)</f>
        <v>0</v>
      </c>
      <c r="U92" s="28">
        <f>IFERROR((inputs!$B$13/100) *'master data '!S91 * inputs!$D$13,0)</f>
        <v>0</v>
      </c>
      <c r="V92" s="28">
        <f>IFERROR((inputs!$B$14/100) *'master data '!T91 * inputs!$D$14,0)</f>
        <v>0</v>
      </c>
      <c r="W92" s="28"/>
      <c r="X92" s="28"/>
      <c r="Y92" s="28"/>
      <c r="Z92" s="28"/>
      <c r="AA92" s="28"/>
      <c r="AB92" s="29">
        <f t="shared" si="21"/>
        <v>375</v>
      </c>
      <c r="AC92" s="9">
        <f t="shared" si="16"/>
        <v>53.571428571428569</v>
      </c>
      <c r="AD92" s="10">
        <f t="shared" si="22"/>
        <v>53.571428571428569</v>
      </c>
      <c r="AE92" s="15" t="str">
        <f t="shared" si="23"/>
        <v>mg</v>
      </c>
      <c r="AF92" s="11" t="str">
        <f t="shared" si="15"/>
        <v>N/A</v>
      </c>
      <c r="AG92" s="34">
        <f t="shared" si="24"/>
        <v>-21.428571428571431</v>
      </c>
      <c r="AH92" s="15"/>
      <c r="AI92" s="11">
        <f t="shared" si="25"/>
        <v>71.428571428571431</v>
      </c>
    </row>
    <row r="93" spans="1:35" x14ac:dyDescent="0.3">
      <c r="A93" s="14" t="s">
        <v>138</v>
      </c>
      <c r="B93" s="14" t="s">
        <v>139</v>
      </c>
      <c r="C93" s="14" t="s">
        <v>30</v>
      </c>
      <c r="D93" s="14"/>
      <c r="E93" s="14">
        <v>30</v>
      </c>
      <c r="F93" s="14"/>
      <c r="G93" s="33">
        <f>IFERROR((inputs!$B$5/100) *'master data '!E92 * inputs!$D$5,0)</f>
        <v>0</v>
      </c>
      <c r="H93" s="13"/>
      <c r="I93" s="33">
        <f>IFERROR((inputs!$B$7/100) *'master data '!G92 * inputs!$D$7,0)</f>
        <v>0</v>
      </c>
      <c r="J93" s="33">
        <f>IFERROR((inputs!$G$6/100) *'master data '!H92 * inputs!$I$6,0)</f>
        <v>0</v>
      </c>
      <c r="K93" s="33">
        <f>IFERROR((inputs!$G$7/100) *'master data '!I92 * inputs!$I$7,0)</f>
        <v>0</v>
      </c>
      <c r="L93" s="28">
        <f>IFERROR((inputs!$G$8/100) *'master data '!J92 * inputs!$I$8,0)</f>
        <v>0</v>
      </c>
      <c r="M93" s="14">
        <f>IFERROR((inputs!$G$10/100) *'master data '!K92 * inputs!$I$10,0)</f>
        <v>0</v>
      </c>
      <c r="N93" s="14">
        <f>IFERROR((inputs!$G$11/100) *'master data '!L92 * inputs!$I$11,0)</f>
        <v>0</v>
      </c>
      <c r="O93" s="28">
        <f>IFERROR((inputs!$B$15/100) *'master data '!M92 * inputs!$D$15,0)</f>
        <v>0</v>
      </c>
      <c r="P93" s="28">
        <f>IFERROR((inputs!$B$9/100) *'master data '!N92 * inputs!$D$9,0)</f>
        <v>0</v>
      </c>
      <c r="Q93" s="28">
        <f>IFERROR((inputs!$G$5/100) *'master data '!O92 * inputs!$I$5,0)</f>
        <v>0</v>
      </c>
      <c r="R93" s="28">
        <f>IFERROR((inputs!$B$10/100) *'master data '!P92 * inputs!$D$10,0)</f>
        <v>0</v>
      </c>
      <c r="S93" s="28">
        <f>IFERROR((inputs!$B$11/100) *'master data '!Q92 * inputs!$D$11,0)</f>
        <v>0</v>
      </c>
      <c r="T93" s="28">
        <f>IFERROR((inputs!$B$12/100) *'master data '!R92 * inputs!$D$12,0)</f>
        <v>0</v>
      </c>
      <c r="U93" s="28">
        <f>IFERROR((inputs!$B$13/100) *'master data '!S92 * inputs!$D$13,0)</f>
        <v>0</v>
      </c>
      <c r="V93" s="28">
        <f>IFERROR((inputs!$B$14/100) *'master data '!T92 * inputs!$D$14,0)</f>
        <v>0</v>
      </c>
      <c r="W93" s="28"/>
      <c r="X93" s="28"/>
      <c r="Y93" s="28"/>
      <c r="Z93" s="28"/>
      <c r="AA93" s="28"/>
      <c r="AB93" s="29">
        <f t="shared" si="21"/>
        <v>0</v>
      </c>
      <c r="AC93" s="9">
        <f t="shared" si="16"/>
        <v>0</v>
      </c>
      <c r="AD93" s="10">
        <f t="shared" si="22"/>
        <v>0</v>
      </c>
      <c r="AE93" s="15" t="str">
        <f t="shared" si="23"/>
        <v>mg</v>
      </c>
      <c r="AF93" s="11" t="str">
        <f t="shared" si="15"/>
        <v>N/A</v>
      </c>
      <c r="AG93" s="34">
        <f t="shared" si="24"/>
        <v>-30</v>
      </c>
      <c r="AH93" s="15"/>
      <c r="AI93" s="11">
        <f t="shared" si="25"/>
        <v>0</v>
      </c>
    </row>
    <row r="94" spans="1:35" x14ac:dyDescent="0.3">
      <c r="A94" s="14" t="s">
        <v>140</v>
      </c>
      <c r="B94" s="14" t="s">
        <v>141</v>
      </c>
      <c r="C94" s="14" t="s">
        <v>30</v>
      </c>
      <c r="D94" s="14"/>
      <c r="E94" s="14">
        <v>250</v>
      </c>
      <c r="F94" s="14"/>
      <c r="G94" s="33">
        <f>IFERROR((inputs!$B$5/100) *'master data '!E93 * inputs!$D$5,0)</f>
        <v>0</v>
      </c>
      <c r="H94" s="13"/>
      <c r="I94" s="33">
        <f>IFERROR((inputs!$B$7/100) *'master data '!G93 * inputs!$D$7,0)</f>
        <v>0</v>
      </c>
      <c r="J94" s="33">
        <f>IFERROR((inputs!$G$6/100) *'master data '!H93 * inputs!$I$6,0)</f>
        <v>0</v>
      </c>
      <c r="K94" s="33">
        <f>IFERROR((inputs!$G$7/100) *'master data '!I93 * inputs!$I$7,0)</f>
        <v>0</v>
      </c>
      <c r="L94" s="28">
        <f>IFERROR((inputs!$G$8/100) *'master data '!J93 * inputs!$I$8,0)</f>
        <v>0</v>
      </c>
      <c r="M94" s="14">
        <f>IFERROR((inputs!$G$10/100) *'master data '!K93 * inputs!$I$10,0)</f>
        <v>0</v>
      </c>
      <c r="N94" s="14">
        <f>IFERROR((inputs!$G$11/100) *'master data '!L93 * inputs!$I$11,0)</f>
        <v>0</v>
      </c>
      <c r="O94" s="28">
        <f>IFERROR((inputs!$B$15/100) *'master data '!M93 * inputs!$D$15,0)</f>
        <v>0</v>
      </c>
      <c r="P94" s="28">
        <f>IFERROR((inputs!$B$9/100) *'master data '!N93 * inputs!$D$9,0)</f>
        <v>0</v>
      </c>
      <c r="Q94" s="28">
        <f>IFERROR((inputs!$G$5/100) *'master data '!O93 * inputs!$I$5,0)</f>
        <v>0</v>
      </c>
      <c r="R94" s="28">
        <f>IFERROR((inputs!$B$10/100) *'master data '!P93 * inputs!$D$10,0)</f>
        <v>0</v>
      </c>
      <c r="S94" s="28">
        <f>IFERROR((inputs!$B$11/100) *'master data '!Q93 * inputs!$D$11,0)</f>
        <v>0</v>
      </c>
      <c r="T94" s="28">
        <f>IFERROR((inputs!$B$12/100) *'master data '!R93 * inputs!$D$12,0)</f>
        <v>0</v>
      </c>
      <c r="U94" s="28">
        <f>IFERROR((inputs!$B$13/100) *'master data '!S93 * inputs!$D$13,0)</f>
        <v>0</v>
      </c>
      <c r="V94" s="28">
        <f>IFERROR((inputs!$B$14/100) *'master data '!T93 * inputs!$D$14,0)</f>
        <v>0</v>
      </c>
      <c r="W94" s="28"/>
      <c r="X94" s="28"/>
      <c r="Y94" s="28"/>
      <c r="Z94" s="28"/>
      <c r="AA94" s="28"/>
      <c r="AB94" s="29">
        <f t="shared" si="21"/>
        <v>0</v>
      </c>
      <c r="AC94" s="9">
        <f t="shared" si="16"/>
        <v>0</v>
      </c>
      <c r="AD94" s="10">
        <f t="shared" si="22"/>
        <v>0</v>
      </c>
      <c r="AE94" s="15" t="str">
        <f t="shared" si="23"/>
        <v>mg</v>
      </c>
      <c r="AF94" s="11" t="str">
        <f t="shared" si="15"/>
        <v>N/A</v>
      </c>
      <c r="AG94" s="34">
        <f t="shared" si="24"/>
        <v>-250</v>
      </c>
      <c r="AH94" s="15"/>
      <c r="AI94" s="11">
        <f t="shared" si="25"/>
        <v>0</v>
      </c>
    </row>
    <row r="95" spans="1:35" x14ac:dyDescent="0.3">
      <c r="A95" s="14" t="s">
        <v>142</v>
      </c>
      <c r="B95" s="14" t="s">
        <v>143</v>
      </c>
      <c r="C95" s="14" t="s">
        <v>30</v>
      </c>
      <c r="D95" s="14"/>
      <c r="E95" s="14">
        <v>75</v>
      </c>
      <c r="F95" s="14"/>
      <c r="G95" s="33">
        <f>IFERROR((inputs!$B$5/100) *'master data '!E94 * inputs!$D$5,0)</f>
        <v>0</v>
      </c>
      <c r="H95" s="13"/>
      <c r="I95" s="33">
        <f>IFERROR((inputs!$B$7/100) *'master data '!G94 * inputs!$D$7,0)</f>
        <v>0</v>
      </c>
      <c r="J95" s="33">
        <f>IFERROR((inputs!$G$6/100) *'master data '!H94 * inputs!$I$6,0)</f>
        <v>0</v>
      </c>
      <c r="K95" s="33">
        <f>IFERROR((inputs!$G$7/100) *'master data '!I94 * inputs!$I$7,0)</f>
        <v>0</v>
      </c>
      <c r="L95" s="28">
        <f>IFERROR((inputs!$G$8/100) *'master data '!J94 * inputs!$I$8,0)</f>
        <v>0</v>
      </c>
      <c r="M95" s="14">
        <f>IFERROR((inputs!$G$10/100) *'master data '!K94 * inputs!$I$10,0)</f>
        <v>0</v>
      </c>
      <c r="N95" s="14">
        <f>IFERROR((inputs!$G$11/100) *'master data '!L94 * inputs!$I$11,0)</f>
        <v>0</v>
      </c>
      <c r="O95" s="28">
        <f>IFERROR((inputs!$B$15/100) *'master data '!M94 * inputs!$D$15,0)</f>
        <v>0</v>
      </c>
      <c r="P95" s="28">
        <f>IFERROR((inputs!$B$9/100) *'master data '!N94 * inputs!$D$9,0)</f>
        <v>0</v>
      </c>
      <c r="Q95" s="28">
        <f>IFERROR((inputs!$G$5/100) *'master data '!O94 * inputs!$I$5,0)</f>
        <v>0</v>
      </c>
      <c r="R95" s="28">
        <f>IFERROR((inputs!$B$10/100) *'master data '!P94 * inputs!$D$10,0)</f>
        <v>0</v>
      </c>
      <c r="S95" s="28">
        <f>IFERROR((inputs!$B$11/100) *'master data '!Q94 * inputs!$D$11,0)</f>
        <v>0</v>
      </c>
      <c r="T95" s="28">
        <f>IFERROR((inputs!$B$12/100) *'master data '!R94 * inputs!$D$12,0)</f>
        <v>0</v>
      </c>
      <c r="U95" s="28">
        <f>IFERROR((inputs!$B$13/100) *'master data '!S94 * inputs!$D$13,0)</f>
        <v>0</v>
      </c>
      <c r="V95" s="28">
        <f>IFERROR((inputs!$B$14/100) *'master data '!T94 * inputs!$D$14,0)</f>
        <v>0</v>
      </c>
      <c r="W95" s="28"/>
      <c r="X95" s="28"/>
      <c r="Y95" s="28"/>
      <c r="Z95" s="28"/>
      <c r="AA95" s="28"/>
      <c r="AB95" s="29">
        <f t="shared" si="21"/>
        <v>0</v>
      </c>
      <c r="AC95" s="9">
        <f t="shared" si="16"/>
        <v>0</v>
      </c>
      <c r="AD95" s="10">
        <f t="shared" si="22"/>
        <v>0</v>
      </c>
      <c r="AE95" s="15" t="str">
        <f t="shared" si="23"/>
        <v>mg</v>
      </c>
      <c r="AF95" s="11" t="str">
        <f t="shared" si="15"/>
        <v>N/A</v>
      </c>
      <c r="AG95" s="34">
        <f t="shared" si="24"/>
        <v>-75</v>
      </c>
      <c r="AH95" s="15"/>
      <c r="AI95" s="11">
        <f t="shared" si="25"/>
        <v>0</v>
      </c>
    </row>
    <row r="96" spans="1:35" x14ac:dyDescent="0.3">
      <c r="A96" s="14" t="s">
        <v>144</v>
      </c>
      <c r="B96" s="14" t="s">
        <v>145</v>
      </c>
      <c r="C96" s="14" t="s">
        <v>30</v>
      </c>
      <c r="D96" s="14"/>
      <c r="E96" s="14">
        <v>250</v>
      </c>
      <c r="F96" s="14"/>
      <c r="G96" s="33">
        <f>IFERROR((inputs!$B$5/100) *'master data '!E95 * inputs!$D$5,0)</f>
        <v>0</v>
      </c>
      <c r="H96" s="13"/>
      <c r="I96" s="33">
        <f>IFERROR((inputs!$B$7/100) *'master data '!G95 * inputs!$D$7,0)</f>
        <v>0</v>
      </c>
      <c r="J96" s="33">
        <f>IFERROR((inputs!$G$6/100) *'master data '!H95 * inputs!$I$6,0)</f>
        <v>0</v>
      </c>
      <c r="K96" s="33">
        <f>IFERROR((inputs!$G$7/100) *'master data '!I95 * inputs!$I$7,0)</f>
        <v>0</v>
      </c>
      <c r="L96" s="28">
        <f>IFERROR((inputs!$G$8/100) *'master data '!J95 * inputs!$I$8,0)</f>
        <v>0</v>
      </c>
      <c r="M96" s="14">
        <f>IFERROR((inputs!$G$10/100) *'master data '!K95 * inputs!$I$10,0)</f>
        <v>0</v>
      </c>
      <c r="N96" s="14">
        <f>IFERROR((inputs!$G$11/100) *'master data '!L95 * inputs!$I$11,0)</f>
        <v>0</v>
      </c>
      <c r="O96" s="28">
        <f>IFERROR((inputs!$B$15/100) *'master data '!M95 * inputs!$D$15,0)</f>
        <v>0</v>
      </c>
      <c r="P96" s="28">
        <f>IFERROR((inputs!$B$9/100) *'master data '!N95 * inputs!$D$9,0)</f>
        <v>0</v>
      </c>
      <c r="Q96" s="28">
        <f>IFERROR((inputs!$G$5/100) *'master data '!O95 * inputs!$I$5,0)</f>
        <v>0</v>
      </c>
      <c r="R96" s="28">
        <f>IFERROR((inputs!$B$10/100) *'master data '!P95 * inputs!$D$10,0)</f>
        <v>0</v>
      </c>
      <c r="S96" s="28">
        <f>IFERROR((inputs!$B$11/100) *'master data '!Q95 * inputs!$D$11,0)</f>
        <v>0</v>
      </c>
      <c r="T96" s="28">
        <f>IFERROR((inputs!$B$12/100) *'master data '!R95 * inputs!$D$12,0)</f>
        <v>0</v>
      </c>
      <c r="U96" s="28">
        <f>IFERROR((inputs!$B$13/100) *'master data '!S95 * inputs!$D$13,0)</f>
        <v>0</v>
      </c>
      <c r="V96" s="28">
        <f>IFERROR((inputs!$B$14/100) *'master data '!T95 * inputs!$D$14,0)</f>
        <v>0</v>
      </c>
      <c r="W96" s="28"/>
      <c r="X96" s="28"/>
      <c r="Y96" s="28"/>
      <c r="Z96" s="28"/>
      <c r="AA96" s="28"/>
      <c r="AB96" s="29">
        <f t="shared" si="21"/>
        <v>0</v>
      </c>
      <c r="AC96" s="9">
        <f t="shared" si="16"/>
        <v>0</v>
      </c>
      <c r="AD96" s="10">
        <f t="shared" si="22"/>
        <v>0</v>
      </c>
      <c r="AE96" s="15" t="str">
        <f t="shared" si="23"/>
        <v>mg</v>
      </c>
      <c r="AF96" s="11" t="str">
        <f t="shared" si="15"/>
        <v>N/A</v>
      </c>
      <c r="AG96" s="34">
        <f t="shared" si="24"/>
        <v>-250</v>
      </c>
      <c r="AH96" s="15"/>
      <c r="AI96" s="11">
        <f t="shared" si="25"/>
        <v>0</v>
      </c>
    </row>
    <row r="97" spans="1:35" x14ac:dyDescent="0.3">
      <c r="A97" s="14" t="s">
        <v>146</v>
      </c>
      <c r="B97" s="14" t="s">
        <v>147</v>
      </c>
      <c r="C97" s="14" t="s">
        <v>30</v>
      </c>
      <c r="D97" s="14"/>
      <c r="E97" s="14">
        <v>50</v>
      </c>
      <c r="F97" s="14"/>
      <c r="G97" s="33">
        <f>IFERROR((inputs!$B$5/100) *'master data '!E96 * inputs!$D$5,0)</f>
        <v>0</v>
      </c>
      <c r="H97" s="13"/>
      <c r="I97" s="33">
        <f>IFERROR((inputs!$B$7/100) *'master data '!G96 * inputs!$D$7,0)</f>
        <v>0</v>
      </c>
      <c r="J97" s="33">
        <f>IFERROR((inputs!$G$6/100) *'master data '!H96 * inputs!$I$6,0)</f>
        <v>0</v>
      </c>
      <c r="K97" s="33">
        <f>IFERROR((inputs!$G$7/100) *'master data '!I96 * inputs!$I$7,0)</f>
        <v>0</v>
      </c>
      <c r="L97" s="28">
        <f>IFERROR((inputs!$G$8/100) *'master data '!J96 * inputs!$I$8,0)</f>
        <v>0</v>
      </c>
      <c r="M97" s="14">
        <f>IFERROR((inputs!$G$10/100) *'master data '!K96 * inputs!$I$10,0)</f>
        <v>0</v>
      </c>
      <c r="N97" s="14">
        <f>IFERROR((inputs!$G$11/100) *'master data '!L96 * inputs!$I$11,0)</f>
        <v>0</v>
      </c>
      <c r="O97" s="28">
        <f>IFERROR((inputs!$B$15/100) *'master data '!M96 * inputs!$D$15,0)</f>
        <v>0</v>
      </c>
      <c r="P97" s="28">
        <f>IFERROR((inputs!$B$9/100) *'master data '!N96 * inputs!$D$9,0)</f>
        <v>0</v>
      </c>
      <c r="Q97" s="28">
        <f>IFERROR((inputs!$G$5/100) *'master data '!O96 * inputs!$I$5,0)</f>
        <v>0</v>
      </c>
      <c r="R97" s="28">
        <f>IFERROR((inputs!$B$10/100) *'master data '!P96 * inputs!$D$10,0)</f>
        <v>0</v>
      </c>
      <c r="S97" s="28">
        <f>IFERROR((inputs!$B$11/100) *'master data '!Q96 * inputs!$D$11,0)</f>
        <v>0</v>
      </c>
      <c r="T97" s="28">
        <f>IFERROR((inputs!$B$12/100) *'master data '!R96 * inputs!$D$12,0)</f>
        <v>0</v>
      </c>
      <c r="U97" s="28">
        <f>IFERROR((inputs!$B$13/100) *'master data '!S96 * inputs!$D$13,0)</f>
        <v>0</v>
      </c>
      <c r="V97" s="28">
        <f>IFERROR((inputs!$B$14/100) *'master data '!T96 * inputs!$D$14,0)</f>
        <v>0</v>
      </c>
      <c r="W97" s="28"/>
      <c r="X97" s="28"/>
      <c r="Y97" s="28"/>
      <c r="Z97" s="28"/>
      <c r="AA97" s="28"/>
      <c r="AB97" s="29">
        <f t="shared" si="21"/>
        <v>0</v>
      </c>
      <c r="AC97" s="9">
        <f t="shared" si="16"/>
        <v>0</v>
      </c>
      <c r="AD97" s="10">
        <f t="shared" si="22"/>
        <v>0</v>
      </c>
      <c r="AE97" s="15" t="str">
        <f t="shared" si="23"/>
        <v>mg</v>
      </c>
      <c r="AF97" s="11" t="str">
        <f t="shared" si="15"/>
        <v>N/A</v>
      </c>
      <c r="AG97" s="34">
        <f t="shared" si="24"/>
        <v>-50</v>
      </c>
      <c r="AH97" s="15"/>
      <c r="AI97" s="11">
        <f t="shared" si="25"/>
        <v>0</v>
      </c>
    </row>
    <row r="98" spans="1:35" s="17" customFormat="1" x14ac:dyDescent="0.3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 t="str">
        <f t="shared" si="15"/>
        <v>N/A</v>
      </c>
      <c r="AG98" s="16"/>
      <c r="AH98" s="16"/>
      <c r="AI98" s="16"/>
    </row>
    <row r="99" spans="1:35" x14ac:dyDescent="0.3">
      <c r="A99" s="14" t="s">
        <v>148</v>
      </c>
      <c r="B99" s="14" t="s">
        <v>149</v>
      </c>
      <c r="C99" s="14" t="s">
        <v>30</v>
      </c>
      <c r="D99" s="14"/>
      <c r="E99" s="14">
        <v>5</v>
      </c>
      <c r="F99" s="14"/>
      <c r="G99" s="33">
        <f>IFERROR((inputs!$B$5/100) *'master data '!E98 * inputs!$D$5,0)</f>
        <v>0</v>
      </c>
      <c r="H99" s="13"/>
      <c r="I99" s="33">
        <f>IFERROR((inputs!$B$7/100) *'master data '!G98 * inputs!$D$7,0)</f>
        <v>0</v>
      </c>
      <c r="J99" s="33">
        <f>IFERROR((inputs!$G$6/100) *'master data '!H98 * inputs!$I$6,0)</f>
        <v>4.2000000000000003E-2</v>
      </c>
      <c r="K99" s="33">
        <f>IFERROR((inputs!$G$7/100) *'master data '!I98 * inputs!$I$7,0)</f>
        <v>7.0000000000000007E-2</v>
      </c>
      <c r="L99" s="28">
        <f>IFERROR((inputs!$G$8/100) *'master data '!J98 * inputs!$I$8,0)</f>
        <v>1.4E-2</v>
      </c>
      <c r="M99" s="14">
        <f>IFERROR((inputs!$G$10/100) *'master data '!K98 * inputs!$I$10,0)</f>
        <v>4.4000000000000004E-2</v>
      </c>
      <c r="N99" s="14">
        <f>IFERROR((inputs!$G$11/100) *'master data '!L98 * inputs!$I$11,0)</f>
        <v>0</v>
      </c>
      <c r="O99" s="28">
        <f>IFERROR((inputs!$B$15/100) *'master data '!M98 * inputs!$D$15,0)</f>
        <v>0.25</v>
      </c>
      <c r="P99" s="28">
        <f>IFERROR((inputs!$B$9/100) *'master data '!N98 * inputs!$D$9,0)</f>
        <v>0.125</v>
      </c>
      <c r="Q99" s="28">
        <f>IFERROR((inputs!$G$5/100) *'master data '!O98 * inputs!$I$5,0)</f>
        <v>0</v>
      </c>
      <c r="R99" s="28">
        <f>IFERROR((inputs!$B$10/100) *'master data '!P98 * inputs!$D$10,0)</f>
        <v>0</v>
      </c>
      <c r="S99" s="28">
        <f>IFERROR((inputs!$B$11/100) *'master data '!Q98 * inputs!$D$11,0)</f>
        <v>0</v>
      </c>
      <c r="T99" s="28">
        <f>IFERROR((inputs!$B$12/100) *'master data '!R98 * inputs!$D$12,0)</f>
        <v>0</v>
      </c>
      <c r="U99" s="28">
        <f>IFERROR((inputs!$B$13/100) *'master data '!S98 * inputs!$D$13,0)</f>
        <v>0</v>
      </c>
      <c r="V99" s="28">
        <f>IFERROR((inputs!$B$14/100) *'master data '!T98 * inputs!$D$14,0)</f>
        <v>0</v>
      </c>
      <c r="W99" s="28"/>
      <c r="X99" s="28"/>
      <c r="Y99" s="28"/>
      <c r="Z99" s="28"/>
      <c r="AA99" s="28"/>
      <c r="AB99" s="29">
        <f t="shared" ref="AB99:AB105" si="26">SUM(G99:Z99)</f>
        <v>0.54500000000000004</v>
      </c>
      <c r="AC99" s="9">
        <f t="shared" ref="AC99:AC105" si="27">AB99 / 7</f>
        <v>7.7857142857142861E-2</v>
      </c>
      <c r="AD99" s="10">
        <f t="shared" ref="AD99:AD105" si="28">AC99 -D99</f>
        <v>7.7857142857142861E-2</v>
      </c>
      <c r="AE99" s="15" t="str">
        <f t="shared" ref="AE99:AE105" si="29">C99</f>
        <v>mg</v>
      </c>
      <c r="AF99" s="11" t="str">
        <f t="shared" si="15"/>
        <v>N/A</v>
      </c>
      <c r="AG99" s="34">
        <f t="shared" ref="AG99:AG105" si="30">AC99 -E99</f>
        <v>-4.9221428571428572</v>
      </c>
      <c r="AH99" s="15"/>
      <c r="AI99" s="11">
        <f t="shared" ref="AI99:AI105" si="31">AC99 /E99*100</f>
        <v>1.5571428571428574</v>
      </c>
    </row>
    <row r="100" spans="1:35" x14ac:dyDescent="0.3">
      <c r="A100" s="14" t="s">
        <v>150</v>
      </c>
      <c r="B100" s="14" t="s">
        <v>149</v>
      </c>
      <c r="C100" s="14" t="s">
        <v>30</v>
      </c>
      <c r="D100" s="14"/>
      <c r="E100" s="14">
        <v>1.5</v>
      </c>
      <c r="F100" s="14"/>
      <c r="G100" s="33">
        <f>IFERROR((inputs!$B$5/100) *'master data '!E99 * inputs!$D$5,0)</f>
        <v>0</v>
      </c>
      <c r="H100" s="13"/>
      <c r="I100" s="33">
        <f>IFERROR((inputs!$B$7/100) *'master data '!G99 * inputs!$D$7,0)</f>
        <v>0</v>
      </c>
      <c r="J100" s="33">
        <f>IFERROR((inputs!$G$6/100) *'master data '!H99 * inputs!$I$6,0)</f>
        <v>0</v>
      </c>
      <c r="K100" s="33">
        <f>IFERROR((inputs!$G$7/100) *'master data '!I99 * inputs!$I$7,0)</f>
        <v>0</v>
      </c>
      <c r="L100" s="28">
        <f>IFERROR((inputs!$G$8/100) *'master data '!J99 * inputs!$I$8,0)</f>
        <v>0</v>
      </c>
      <c r="M100" s="14">
        <f>IFERROR((inputs!$G$10/100) *'master data '!K99 * inputs!$I$10,0)</f>
        <v>0</v>
      </c>
      <c r="N100" s="14">
        <f>IFERROR((inputs!$G$11/100) *'master data '!L99 * inputs!$I$11,0)</f>
        <v>0</v>
      </c>
      <c r="O100" s="28">
        <f>IFERROR((inputs!$B$15/100) *'master data '!M99 * inputs!$D$15,0)</f>
        <v>0</v>
      </c>
      <c r="P100" s="28">
        <f>IFERROR((inputs!$B$9/100) *'master data '!N99 * inputs!$D$9,0)</f>
        <v>0</v>
      </c>
      <c r="Q100" s="28">
        <f>IFERROR((inputs!$G$5/100) *'master data '!O99 * inputs!$I$5,0)</f>
        <v>0</v>
      </c>
      <c r="R100" s="28">
        <f>IFERROR((inputs!$B$10/100) *'master data '!P99 * inputs!$D$10,0)</f>
        <v>0</v>
      </c>
      <c r="S100" s="28">
        <f>IFERROR((inputs!$B$11/100) *'master data '!Q99 * inputs!$D$11,0)</f>
        <v>0</v>
      </c>
      <c r="T100" s="28">
        <f>IFERROR((inputs!$B$12/100) *'master data '!R99 * inputs!$D$12,0)</f>
        <v>0</v>
      </c>
      <c r="U100" s="28">
        <f>IFERROR((inputs!$B$13/100) *'master data '!S99 * inputs!$D$13,0)</f>
        <v>0</v>
      </c>
      <c r="V100" s="28">
        <f>IFERROR((inputs!$B$14/100) *'master data '!T99 * inputs!$D$14,0)</f>
        <v>0</v>
      </c>
      <c r="W100" s="28"/>
      <c r="X100" s="28"/>
      <c r="Y100" s="28"/>
      <c r="Z100" s="28"/>
      <c r="AA100" s="28"/>
      <c r="AB100" s="29">
        <f t="shared" si="26"/>
        <v>0</v>
      </c>
      <c r="AC100" s="9">
        <f t="shared" si="27"/>
        <v>0</v>
      </c>
      <c r="AD100" s="10">
        <f t="shared" si="28"/>
        <v>0</v>
      </c>
      <c r="AE100" s="15" t="str">
        <f t="shared" si="29"/>
        <v>mg</v>
      </c>
      <c r="AF100" s="11" t="str">
        <f t="shared" si="15"/>
        <v>N/A</v>
      </c>
      <c r="AG100" s="34">
        <f t="shared" si="30"/>
        <v>-1.5</v>
      </c>
      <c r="AH100" s="15"/>
      <c r="AI100" s="11">
        <f t="shared" si="31"/>
        <v>0</v>
      </c>
    </row>
    <row r="101" spans="1:35" x14ac:dyDescent="0.3">
      <c r="A101" s="14" t="s">
        <v>158</v>
      </c>
      <c r="B101" s="14" t="s">
        <v>149</v>
      </c>
      <c r="C101" s="14" t="s">
        <v>30</v>
      </c>
      <c r="D101" s="14"/>
      <c r="E101" s="14">
        <v>1.5</v>
      </c>
      <c r="F101" s="14"/>
      <c r="G101" s="33">
        <f>IFERROR((inputs!$B$5/100) *'master data '!E100 * inputs!$D$5,0)</f>
        <v>0</v>
      </c>
      <c r="H101" s="13"/>
      <c r="I101" s="33">
        <f>IFERROR((inputs!$B$7/100) *'master data '!G100 * inputs!$D$7,0)</f>
        <v>0</v>
      </c>
      <c r="J101" s="33">
        <f>IFERROR((inputs!$G$6/100) *'master data '!H100 * inputs!$I$6,0)</f>
        <v>0</v>
      </c>
      <c r="K101" s="33">
        <f>IFERROR((inputs!$G$7/100) *'master data '!I100 * inputs!$I$7,0)</f>
        <v>0</v>
      </c>
      <c r="L101" s="28">
        <f>IFERROR((inputs!$G$8/100) *'master data '!J100 * inputs!$I$8,0)</f>
        <v>0</v>
      </c>
      <c r="M101" s="14">
        <f>IFERROR((inputs!$G$10/100) *'master data '!K100 * inputs!$I$10,0)</f>
        <v>4.4000000000000004E-2</v>
      </c>
      <c r="N101" s="14">
        <f>IFERROR((inputs!$G$11/100) *'master data '!L100 * inputs!$I$11,0)</f>
        <v>0</v>
      </c>
      <c r="O101" s="28">
        <f>IFERROR((inputs!$B$15/100) *'master data '!M100 * inputs!$D$15,0)</f>
        <v>0</v>
      </c>
      <c r="P101" s="28">
        <f>IFERROR((inputs!$B$9/100) *'master data '!N100 * inputs!$D$9,0)</f>
        <v>0</v>
      </c>
      <c r="Q101" s="28">
        <f>IFERROR((inputs!$G$5/100) *'master data '!O100 * inputs!$I$5,0)</f>
        <v>0</v>
      </c>
      <c r="R101" s="28">
        <f>IFERROR((inputs!$B$10/100) *'master data '!P100 * inputs!$D$10,0)</f>
        <v>0</v>
      </c>
      <c r="S101" s="28">
        <f>IFERROR((inputs!$B$11/100) *'master data '!Q100 * inputs!$D$11,0)</f>
        <v>0</v>
      </c>
      <c r="T101" s="28">
        <f>IFERROR((inputs!$B$12/100) *'master data '!R100 * inputs!$D$12,0)</f>
        <v>0</v>
      </c>
      <c r="U101" s="28">
        <f>IFERROR((inputs!$B$13/100) *'master data '!S100 * inputs!$D$13,0)</f>
        <v>0</v>
      </c>
      <c r="V101" s="28">
        <f>IFERROR((inputs!$B$14/100) *'master data '!T100 * inputs!$D$14,0)</f>
        <v>0</v>
      </c>
      <c r="W101" s="28"/>
      <c r="X101" s="28"/>
      <c r="Y101" s="28"/>
      <c r="Z101" s="28"/>
      <c r="AA101" s="28"/>
      <c r="AB101" s="29">
        <f t="shared" si="26"/>
        <v>4.4000000000000004E-2</v>
      </c>
      <c r="AC101" s="9">
        <f>AB101 / 7</f>
        <v>6.285714285714286E-3</v>
      </c>
      <c r="AD101" s="10">
        <f t="shared" si="28"/>
        <v>6.285714285714286E-3</v>
      </c>
      <c r="AE101" s="15" t="str">
        <f t="shared" si="29"/>
        <v>mg</v>
      </c>
      <c r="AF101" s="11" t="str">
        <f t="shared" si="15"/>
        <v>N/A</v>
      </c>
      <c r="AG101" s="34">
        <f t="shared" si="30"/>
        <v>-1.4937142857142858</v>
      </c>
      <c r="AH101" s="15"/>
      <c r="AI101" s="11">
        <f t="shared" si="31"/>
        <v>0.41904761904761906</v>
      </c>
    </row>
    <row r="102" spans="1:35" x14ac:dyDescent="0.3">
      <c r="A102" s="14" t="s">
        <v>151</v>
      </c>
      <c r="B102" s="14" t="s">
        <v>152</v>
      </c>
      <c r="C102" s="14" t="s">
        <v>30</v>
      </c>
      <c r="D102" s="14"/>
      <c r="E102" s="14">
        <v>12.5</v>
      </c>
      <c r="F102" s="14"/>
      <c r="G102" s="33">
        <f>IFERROR((inputs!$B$5/100) *'master data '!E101 * inputs!$D$5,0)</f>
        <v>0</v>
      </c>
      <c r="H102" s="13"/>
      <c r="I102" s="33">
        <f>IFERROR((inputs!$B$7/100) *'master data '!G101 * inputs!$D$7,0)</f>
        <v>0</v>
      </c>
      <c r="J102" s="33">
        <f>IFERROR((inputs!$G$6/100) *'master data '!H101 * inputs!$I$6,0)</f>
        <v>0</v>
      </c>
      <c r="K102" s="33">
        <f>IFERROR((inputs!$G$7/100) *'master data '!I101 * inputs!$I$7,0)</f>
        <v>0</v>
      </c>
      <c r="L102" s="28">
        <f>IFERROR((inputs!$G$8/100) *'master data '!J101 * inputs!$I$8,0)</f>
        <v>0</v>
      </c>
      <c r="M102" s="14">
        <f>IFERROR((inputs!$G$10/100) *'master data '!K101 * inputs!$I$10,0)</f>
        <v>0</v>
      </c>
      <c r="N102" s="14">
        <f>IFERROR((inputs!$G$11/100) *'master data '!L101 * inputs!$I$11,0)</f>
        <v>0</v>
      </c>
      <c r="O102" s="28">
        <f>IFERROR((inputs!$B$15/100) *'master data '!M101 * inputs!$D$15,0)</f>
        <v>0</v>
      </c>
      <c r="P102" s="28">
        <f>IFERROR((inputs!$B$9/100) *'master data '!N101 * inputs!$D$9,0)</f>
        <v>0</v>
      </c>
      <c r="Q102" s="28">
        <f>IFERROR((inputs!$G$5/100) *'master data '!O101 * inputs!$I$5,0)</f>
        <v>0</v>
      </c>
      <c r="R102" s="28">
        <f>IFERROR((inputs!$B$10/100) *'master data '!P101 * inputs!$D$10,0)</f>
        <v>0</v>
      </c>
      <c r="S102" s="28">
        <f>IFERROR((inputs!$B$11/100) *'master data '!Q101 * inputs!$D$11,0)</f>
        <v>0</v>
      </c>
      <c r="T102" s="28">
        <f>IFERROR((inputs!$B$12/100) *'master data '!R101 * inputs!$D$12,0)</f>
        <v>0</v>
      </c>
      <c r="U102" s="28">
        <f>IFERROR((inputs!$B$13/100) *'master data '!S101 * inputs!$D$13,0)</f>
        <v>0</v>
      </c>
      <c r="V102" s="28">
        <f>IFERROR((inputs!$B$14/100) *'master data '!T101 * inputs!$D$14,0)</f>
        <v>0</v>
      </c>
      <c r="W102" s="28"/>
      <c r="X102" s="28"/>
      <c r="Y102" s="28"/>
      <c r="Z102" s="28"/>
      <c r="AA102" s="28"/>
      <c r="AB102" s="29">
        <f t="shared" si="26"/>
        <v>0</v>
      </c>
      <c r="AC102" s="9">
        <f t="shared" si="27"/>
        <v>0</v>
      </c>
      <c r="AD102" s="10">
        <f t="shared" si="28"/>
        <v>0</v>
      </c>
      <c r="AE102" s="15" t="str">
        <f t="shared" si="29"/>
        <v>mg</v>
      </c>
      <c r="AF102" s="11" t="str">
        <f t="shared" si="15"/>
        <v>N/A</v>
      </c>
      <c r="AG102" s="34">
        <f t="shared" si="30"/>
        <v>-12.5</v>
      </c>
      <c r="AH102" s="15"/>
      <c r="AI102" s="11">
        <f t="shared" si="31"/>
        <v>0</v>
      </c>
    </row>
    <row r="103" spans="1:35" x14ac:dyDescent="0.3">
      <c r="A103" s="14" t="s">
        <v>153</v>
      </c>
      <c r="B103" s="14" t="s">
        <v>154</v>
      </c>
      <c r="C103" s="14" t="s">
        <v>30</v>
      </c>
      <c r="D103" s="14">
        <v>6</v>
      </c>
      <c r="E103" s="14">
        <v>10</v>
      </c>
      <c r="F103" s="14"/>
      <c r="G103" s="33">
        <f>IFERROR((inputs!$B$5/100) *'master data '!E102 * inputs!$D$5,0)</f>
        <v>0</v>
      </c>
      <c r="H103" s="13"/>
      <c r="I103" s="33">
        <f>IFERROR((inputs!$B$7/100) *'master data '!G102 * inputs!$D$7,0)</f>
        <v>0</v>
      </c>
      <c r="J103" s="33">
        <f>IFERROR((inputs!$G$6/100) *'master data '!H102 * inputs!$I$6,0)</f>
        <v>1.05</v>
      </c>
      <c r="K103" s="33">
        <f>IFERROR((inputs!$G$7/100) *'master data '!I102 * inputs!$I$7,0)</f>
        <v>0.35000000000000003</v>
      </c>
      <c r="L103" s="28">
        <f>IFERROR((inputs!$G$8/100) *'master data '!J102 * inputs!$I$8,0)</f>
        <v>7.0000000000000007E-2</v>
      </c>
      <c r="M103" s="14">
        <f>IFERROR((inputs!$G$10/100) *'master data '!K102 * inputs!$I$10,0)</f>
        <v>0.44000000000000006</v>
      </c>
      <c r="N103" s="14">
        <f>IFERROR((inputs!$G$11/100) *'master data '!L102 * inputs!$I$11,0)</f>
        <v>0</v>
      </c>
      <c r="O103" s="28">
        <f>IFERROR((inputs!$B$15/100) *'master data '!M102 * inputs!$D$15,0)</f>
        <v>0.75</v>
      </c>
      <c r="P103" s="28">
        <f>IFERROR((inputs!$B$9/100) *'master data '!N102 * inputs!$D$9,0)</f>
        <v>0.5</v>
      </c>
      <c r="Q103" s="28">
        <f>IFERROR((inputs!$G$5/100) *'master data '!O102 * inputs!$I$5,0)</f>
        <v>0</v>
      </c>
      <c r="R103" s="28">
        <f>IFERROR((inputs!$B$10/100) *'master data '!P102 * inputs!$D$10,0)</f>
        <v>0</v>
      </c>
      <c r="S103" s="28">
        <f>IFERROR((inputs!$B$11/100) *'master data '!Q102 * inputs!$D$11,0)</f>
        <v>0</v>
      </c>
      <c r="T103" s="28">
        <f>IFERROR((inputs!$B$12/100) *'master data '!R102 * inputs!$D$12,0)</f>
        <v>0</v>
      </c>
      <c r="U103" s="28">
        <f>IFERROR((inputs!$B$13/100) *'master data '!S102 * inputs!$D$13,0)</f>
        <v>0</v>
      </c>
      <c r="V103" s="28">
        <f>IFERROR((inputs!$B$14/100) *'master data '!T102 * inputs!$D$14,0)</f>
        <v>0</v>
      </c>
      <c r="W103" s="28"/>
      <c r="X103" s="28"/>
      <c r="Y103" s="28"/>
      <c r="Z103" s="28"/>
      <c r="AA103" s="28"/>
      <c r="AB103" s="29">
        <f t="shared" si="26"/>
        <v>3.16</v>
      </c>
      <c r="AC103" s="9">
        <f t="shared" si="27"/>
        <v>0.45142857142857146</v>
      </c>
      <c r="AD103" s="10">
        <f t="shared" si="28"/>
        <v>-5.5485714285714289</v>
      </c>
      <c r="AE103" s="15" t="str">
        <f t="shared" si="29"/>
        <v>mg</v>
      </c>
      <c r="AF103" s="11">
        <f t="shared" si="15"/>
        <v>7.5238095238095246</v>
      </c>
      <c r="AG103" s="34">
        <f t="shared" si="30"/>
        <v>-9.548571428571428</v>
      </c>
      <c r="AH103" s="15"/>
      <c r="AI103" s="11">
        <f t="shared" si="31"/>
        <v>4.5142857142857142</v>
      </c>
    </row>
    <row r="104" spans="1:35" x14ac:dyDescent="0.3">
      <c r="A104" s="14" t="s">
        <v>155</v>
      </c>
      <c r="B104" s="14" t="s">
        <v>154</v>
      </c>
      <c r="C104" s="14" t="s">
        <v>30</v>
      </c>
      <c r="D104" s="14">
        <v>2</v>
      </c>
      <c r="E104" s="14">
        <v>2</v>
      </c>
      <c r="F104" s="14"/>
      <c r="G104" s="33">
        <f>IFERROR((inputs!$B$5/100) *'master data '!E103 * inputs!$D$5,0)</f>
        <v>0</v>
      </c>
      <c r="H104" s="13"/>
      <c r="I104" s="33">
        <f>IFERROR((inputs!$B$7/100) *'master data '!G103 * inputs!$D$7,0)</f>
        <v>0</v>
      </c>
      <c r="J104" s="33">
        <f>IFERROR((inputs!$G$6/100) *'master data '!H103 * inputs!$I$6,0)</f>
        <v>0.63</v>
      </c>
      <c r="K104" s="33">
        <f>IFERROR((inputs!$G$7/100) *'master data '!I103 * inputs!$I$7,0)</f>
        <v>0.17500000000000002</v>
      </c>
      <c r="L104" s="28">
        <f>IFERROR((inputs!$G$8/100) *'master data '!J103 * inputs!$I$8,0)</f>
        <v>3.5000000000000003E-2</v>
      </c>
      <c r="M104" s="14">
        <f>IFERROR((inputs!$G$10/100) *'master data '!K103 * inputs!$I$10,0)</f>
        <v>0.44000000000000006</v>
      </c>
      <c r="N104" s="14">
        <f>IFERROR((inputs!$G$11/100) *'master data '!L103 * inputs!$I$11,0)</f>
        <v>0</v>
      </c>
      <c r="O104" s="28">
        <f>IFERROR((inputs!$B$15/100) *'master data '!M103 * inputs!$D$15,0)</f>
        <v>0.5</v>
      </c>
      <c r="P104" s="28">
        <f>IFERROR((inputs!$B$9/100) *'master data '!N103 * inputs!$D$9,0)</f>
        <v>0.25</v>
      </c>
      <c r="Q104" s="28">
        <f>IFERROR((inputs!$G$5/100) *'master data '!O103 * inputs!$I$5,0)</f>
        <v>0</v>
      </c>
      <c r="R104" s="28">
        <f>IFERROR((inputs!$B$10/100) *'master data '!P103 * inputs!$D$10,0)</f>
        <v>0</v>
      </c>
      <c r="S104" s="28">
        <f>IFERROR((inputs!$B$11/100) *'master data '!Q103 * inputs!$D$11,0)</f>
        <v>0</v>
      </c>
      <c r="T104" s="28">
        <f>IFERROR((inputs!$B$12/100) *'master data '!R103 * inputs!$D$12,0)</f>
        <v>0</v>
      </c>
      <c r="U104" s="28">
        <f>IFERROR((inputs!$B$13/100) *'master data '!S103 * inputs!$D$13,0)</f>
        <v>0</v>
      </c>
      <c r="V104" s="28">
        <f>IFERROR((inputs!$B$14/100) *'master data '!T103 * inputs!$D$14,0)</f>
        <v>0</v>
      </c>
      <c r="W104" s="28"/>
      <c r="X104" s="28"/>
      <c r="Y104" s="28"/>
      <c r="Z104" s="28"/>
      <c r="AA104" s="28"/>
      <c r="AB104" s="29">
        <f t="shared" si="26"/>
        <v>2.0300000000000002</v>
      </c>
      <c r="AC104" s="9">
        <f t="shared" si="27"/>
        <v>0.29000000000000004</v>
      </c>
      <c r="AD104" s="10">
        <f t="shared" si="28"/>
        <v>-1.71</v>
      </c>
      <c r="AE104" s="15" t="str">
        <f t="shared" si="29"/>
        <v>mg</v>
      </c>
      <c r="AF104" s="11">
        <f t="shared" si="15"/>
        <v>14.500000000000002</v>
      </c>
      <c r="AG104" s="34">
        <f t="shared" si="30"/>
        <v>-1.71</v>
      </c>
      <c r="AH104" s="15"/>
      <c r="AI104" s="11">
        <f t="shared" si="31"/>
        <v>14.500000000000002</v>
      </c>
    </row>
    <row r="105" spans="1:35" x14ac:dyDescent="0.3">
      <c r="A105" s="14" t="s">
        <v>156</v>
      </c>
      <c r="B105" s="14" t="s">
        <v>157</v>
      </c>
      <c r="C105" s="14" t="s">
        <v>30</v>
      </c>
      <c r="D105" s="14"/>
      <c r="E105" s="14">
        <v>5</v>
      </c>
      <c r="F105" s="14"/>
      <c r="G105" s="33">
        <f>IFERROR((inputs!$B$5/100) *'master data '!E104 * inputs!$D$5,0)</f>
        <v>0</v>
      </c>
      <c r="H105" s="13"/>
      <c r="I105" s="33">
        <f>IFERROR((inputs!$B$7/100) *'master data '!G104 * inputs!$D$7,0)</f>
        <v>0</v>
      </c>
      <c r="J105" s="33">
        <f>IFERROR((inputs!$G$6/100) *'master data '!H104 * inputs!$I$6,0)</f>
        <v>0</v>
      </c>
      <c r="K105" s="33">
        <f>IFERROR((inputs!$G$7/100) *'master data '!I104 * inputs!$I$7,0)</f>
        <v>0</v>
      </c>
      <c r="L105" s="28">
        <f>IFERROR((inputs!$G$8/100) *'master data '!J104 * inputs!$I$8,0)</f>
        <v>0</v>
      </c>
      <c r="M105" s="28">
        <f>IFERROR((inputs!$G$10/100) *'master data '!K104 * inputs!$I$10,0)</f>
        <v>0</v>
      </c>
      <c r="N105" s="28">
        <f>IFERROR((inputs!$G$11/100) *'master data '!L104 * inputs!$I$11,0)</f>
        <v>0</v>
      </c>
      <c r="O105" s="28">
        <f>IFERROR((inputs!$B$15/100) *'master data '!M104 * inputs!$D$15,0)</f>
        <v>0</v>
      </c>
      <c r="P105" s="28">
        <f>IFERROR((inputs!$B$9/100) *'master data '!N104 * inputs!$D$9,0)</f>
        <v>0</v>
      </c>
      <c r="Q105" s="28">
        <f>IFERROR((inputs!$G$5/100) *'master data '!O104 * inputs!$I$5,0)</f>
        <v>0</v>
      </c>
      <c r="R105" s="28">
        <f>IFERROR((inputs!$B$10/100) *'master data '!P104 * inputs!$D$10,0)</f>
        <v>0</v>
      </c>
      <c r="S105" s="28">
        <f>IFERROR((inputs!$B$11/100) *'master data '!Q104 * inputs!$D$11,0)</f>
        <v>0</v>
      </c>
      <c r="T105" s="28">
        <f>IFERROR((inputs!$B$12/100) *'master data '!R104 * inputs!$D$12,0)</f>
        <v>0</v>
      </c>
      <c r="U105" s="28">
        <f>IFERROR((inputs!$B$13/100) *'master data '!S104 * inputs!$D$13,0)</f>
        <v>0</v>
      </c>
      <c r="V105" s="28">
        <f>IFERROR((inputs!$B$14/100) *'master data '!T104 * inputs!$D$14,0)</f>
        <v>0</v>
      </c>
      <c r="W105" s="28"/>
      <c r="X105" s="28"/>
      <c r="Y105" s="28"/>
      <c r="Z105" s="28"/>
      <c r="AA105" s="28"/>
      <c r="AB105" s="29">
        <f t="shared" si="26"/>
        <v>0</v>
      </c>
      <c r="AC105" s="9">
        <f t="shared" si="27"/>
        <v>0</v>
      </c>
      <c r="AD105" s="10">
        <f t="shared" si="28"/>
        <v>0</v>
      </c>
      <c r="AE105" s="15" t="str">
        <f t="shared" si="29"/>
        <v>mg</v>
      </c>
      <c r="AF105" s="11" t="str">
        <f t="shared" si="15"/>
        <v>N/A</v>
      </c>
      <c r="AG105" s="34">
        <f t="shared" si="30"/>
        <v>-5</v>
      </c>
      <c r="AH105" s="15"/>
      <c r="AI105" s="11">
        <f t="shared" si="31"/>
        <v>0</v>
      </c>
    </row>
  </sheetData>
  <sheetProtection formatCells="0" formatColumns="0" formatRows="0" insertColumns="0" insertRows="0" insertHyperlinks="0" deleteColumns="0" deleteRows="0" sort="0" autoFilter="0" pivotTables="0"/>
  <conditionalFormatting sqref="AF3:AF16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4:AF34 AF18:AF22 AF36:AF71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36:AF71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73:AF81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83:AF97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99:AF105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3:AI16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8:AI22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4:AI34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36:AI71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73:AI8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83:AI9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99:AI10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6" operator="containsText" id="{C9924684-FE44-4C0B-85D5-8EF4977869DA}">
            <xm:f>NOT(ISERROR(SEARCH("-",AD3)))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AD3:AF16 AD18:AF22 AD24:AF34 AD36:AF71 AD73:AF105</xm:sqref>
        </x14:conditionalFormatting>
        <x14:conditionalFormatting xmlns:xm="http://schemas.microsoft.com/office/excel/2006/main">
          <x14:cfRule type="containsText" priority="45" operator="containsText" id="{3841D1FE-A9AB-485E-AA59-62A57985E675}">
            <xm:f>NOT(ISERROR(SEARCH("+",AD3)))</xm:f>
            <xm:f>"+"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AD3:AF16 AD73:AF105 AD18:AF22 AD24:AF34 AD36:AF71</xm:sqref>
        </x14:conditionalFormatting>
        <x14:conditionalFormatting xmlns:xm="http://schemas.microsoft.com/office/excel/2006/main">
          <x14:cfRule type="containsText" priority="20" operator="containsText" id="{5BD1914D-14B9-4C9F-B756-B650F59B2190}">
            <xm:f>NOT(ISERROR(SEARCH("+",AI3)))</xm:f>
            <xm:f>"+"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1" operator="containsText" id="{DDBC2583-F303-4C25-B591-5D696A556F43}">
            <xm:f>NOT(ISERROR(SEARCH("-",AI3)))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AI3:AI16</xm:sqref>
        </x14:conditionalFormatting>
        <x14:conditionalFormatting xmlns:xm="http://schemas.microsoft.com/office/excel/2006/main">
          <x14:cfRule type="containsText" priority="16" operator="containsText" id="{13E610D6-99A1-4AB4-997B-D50922918600}">
            <xm:f>NOT(ISERROR(SEARCH("+",AI18)))</xm:f>
            <xm:f>"+"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7" operator="containsText" id="{8DF7B214-F01C-4A96-859A-D5DAF6ACD298}">
            <xm:f>NOT(ISERROR(SEARCH("-",AI18)))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AI18:AI22</xm:sqref>
        </x14:conditionalFormatting>
        <x14:conditionalFormatting xmlns:xm="http://schemas.microsoft.com/office/excel/2006/main">
          <x14:cfRule type="containsText" priority="13" operator="containsText" id="{2B029024-9913-4336-A205-173D46F9BA17}">
            <xm:f>NOT(ISERROR(SEARCH("+",AI24)))</xm:f>
            <xm:f>"+"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4" operator="containsText" id="{526DF541-7F4A-4AFF-9220-A50C929A9CD9}">
            <xm:f>NOT(ISERROR(SEARCH("-",AI24)))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AI24:AI34</xm:sqref>
        </x14:conditionalFormatting>
        <x14:conditionalFormatting xmlns:xm="http://schemas.microsoft.com/office/excel/2006/main">
          <x14:cfRule type="containsText" priority="10" operator="containsText" id="{E0C953A9-DB77-4B0E-8E1A-74851DA0EAC1}">
            <xm:f>NOT(ISERROR(SEARCH("+",AI36)))</xm:f>
            <xm:f>"+"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" operator="containsText" id="{F7B441BC-270B-4A8F-A50D-C75E7C41B4B2}">
            <xm:f>NOT(ISERROR(SEARCH("-",AI36)))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AI36:AI71</xm:sqref>
        </x14:conditionalFormatting>
        <x14:conditionalFormatting xmlns:xm="http://schemas.microsoft.com/office/excel/2006/main">
          <x14:cfRule type="containsText" priority="7" operator="containsText" id="{6A888B71-B397-43CA-A424-348075FC0AD6}">
            <xm:f>NOT(ISERROR(SEARCH("+",AI73)))</xm:f>
            <xm:f>"+"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8" operator="containsText" id="{CA39AEB9-6A7C-4B8C-8463-D4CFBFF2F6F9}">
            <xm:f>NOT(ISERROR(SEARCH("-",AI73)))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AI73:AI81</xm:sqref>
        </x14:conditionalFormatting>
        <x14:conditionalFormatting xmlns:xm="http://schemas.microsoft.com/office/excel/2006/main">
          <x14:cfRule type="containsText" priority="4" operator="containsText" id="{73A7803F-A7A5-40B2-905F-42F3719026D1}">
            <xm:f>NOT(ISERROR(SEARCH("+",AI83)))</xm:f>
            <xm:f>"+"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" operator="containsText" id="{B945A96B-AC8E-47AB-933A-C64DE82D5302}">
            <xm:f>NOT(ISERROR(SEARCH("-",AI83)))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AI83:AI97</xm:sqref>
        </x14:conditionalFormatting>
        <x14:conditionalFormatting xmlns:xm="http://schemas.microsoft.com/office/excel/2006/main">
          <x14:cfRule type="containsText" priority="1" operator="containsText" id="{E3EEF6AD-6632-4513-92D5-0068393D3A33}">
            <xm:f>NOT(ISERROR(SEARCH("+",AI99)))</xm:f>
            <xm:f>"+"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" operator="containsText" id="{F01DD7BF-1EEC-4957-BD84-39BE1B445F8B}">
            <xm:f>NOT(ISERROR(SEARCH("-",AI99)))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AI99:AI105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30952-76A5-4E8F-8D72-6A94DCDD774F}">
  <dimension ref="A1:Z104"/>
  <sheetViews>
    <sheetView zoomScale="115" zoomScaleNormal="115" workbookViewId="0">
      <pane xSplit="4" ySplit="1" topLeftCell="G2" activePane="bottomRight" state="frozen"/>
      <selection pane="topRight" activeCell="E1" sqref="E1"/>
      <selection pane="bottomLeft" activeCell="A2" sqref="A2"/>
      <selection pane="bottomRight" activeCell="E11" sqref="E11"/>
    </sheetView>
  </sheetViews>
  <sheetFormatPr defaultRowHeight="14.4" x14ac:dyDescent="0.3"/>
  <cols>
    <col min="1" max="1" width="16.5546875" customWidth="1"/>
    <col min="2" max="10" width="8.88671875" customWidth="1"/>
    <col min="13" max="15" width="8.88671875" customWidth="1"/>
    <col min="21" max="24" width="8.88671875" customWidth="1"/>
  </cols>
  <sheetData>
    <row r="1" spans="1:26" ht="28.8" x14ac:dyDescent="0.3">
      <c r="A1" s="4" t="s">
        <v>2</v>
      </c>
      <c r="B1" s="4" t="s">
        <v>3</v>
      </c>
      <c r="C1" s="4" t="s">
        <v>4</v>
      </c>
      <c r="D1" s="4" t="s">
        <v>5</v>
      </c>
      <c r="E1" s="4" t="s">
        <v>7</v>
      </c>
      <c r="F1" s="4" t="s">
        <v>11</v>
      </c>
      <c r="G1" s="4" t="s">
        <v>187</v>
      </c>
      <c r="H1" s="4" t="s">
        <v>1</v>
      </c>
      <c r="I1" s="4" t="s">
        <v>18</v>
      </c>
      <c r="J1" s="4" t="s">
        <v>19</v>
      </c>
      <c r="K1" s="4" t="s">
        <v>20</v>
      </c>
      <c r="L1" s="4" t="s">
        <v>297</v>
      </c>
      <c r="M1" s="5" t="s">
        <v>13</v>
      </c>
      <c r="N1" s="5" t="s">
        <v>12</v>
      </c>
      <c r="O1" s="4" t="s">
        <v>166</v>
      </c>
      <c r="P1" s="4" t="s">
        <v>193</v>
      </c>
      <c r="Q1" s="4" t="s">
        <v>194</v>
      </c>
      <c r="R1" s="4" t="s">
        <v>195</v>
      </c>
      <c r="S1" s="4" t="s">
        <v>196</v>
      </c>
      <c r="T1" s="4" t="s">
        <v>192</v>
      </c>
      <c r="U1" s="4" t="s">
        <v>170</v>
      </c>
      <c r="V1" s="4" t="s">
        <v>169</v>
      </c>
      <c r="W1" s="4" t="s">
        <v>17</v>
      </c>
      <c r="X1" s="6" t="s">
        <v>168</v>
      </c>
      <c r="Y1" s="6" t="s">
        <v>296</v>
      </c>
      <c r="Z1" s="4" t="s">
        <v>21</v>
      </c>
    </row>
    <row r="2" spans="1:26" x14ac:dyDescent="0.3">
      <c r="A2" s="8" t="s">
        <v>25</v>
      </c>
      <c r="B2" s="8" t="s">
        <v>26</v>
      </c>
      <c r="C2" s="8" t="s">
        <v>27</v>
      </c>
      <c r="D2" s="8">
        <v>900</v>
      </c>
      <c r="E2" s="8">
        <v>0</v>
      </c>
      <c r="F2" s="8">
        <v>50</v>
      </c>
      <c r="G2" s="8">
        <v>45</v>
      </c>
      <c r="H2" s="8">
        <v>0</v>
      </c>
      <c r="I2" s="13">
        <v>0</v>
      </c>
      <c r="J2" s="13">
        <v>0</v>
      </c>
      <c r="K2" s="13">
        <v>160</v>
      </c>
      <c r="L2" s="13">
        <v>5</v>
      </c>
      <c r="M2" s="8">
        <v>0</v>
      </c>
      <c r="N2" s="8">
        <v>0</v>
      </c>
      <c r="O2" s="8">
        <v>0</v>
      </c>
      <c r="P2" s="8" t="s">
        <v>197</v>
      </c>
      <c r="Q2" s="8" t="s">
        <v>197</v>
      </c>
      <c r="R2" s="8">
        <v>0</v>
      </c>
      <c r="S2" s="8">
        <v>0</v>
      </c>
      <c r="T2" s="8">
        <v>0</v>
      </c>
      <c r="U2" s="13">
        <v>835</v>
      </c>
      <c r="V2" s="13">
        <v>42</v>
      </c>
      <c r="W2" s="13">
        <v>0</v>
      </c>
      <c r="X2" s="13">
        <v>2</v>
      </c>
      <c r="Y2" s="13">
        <v>0</v>
      </c>
      <c r="Z2" s="13">
        <v>840</v>
      </c>
    </row>
    <row r="3" spans="1:26" x14ac:dyDescent="0.3">
      <c r="A3" s="8" t="s">
        <v>28</v>
      </c>
      <c r="B3" s="8" t="s">
        <v>29</v>
      </c>
      <c r="C3" s="8" t="s">
        <v>30</v>
      </c>
      <c r="D3" s="8">
        <v>1.2</v>
      </c>
      <c r="E3" s="8">
        <v>0.42</v>
      </c>
      <c r="F3" s="8">
        <v>0.04</v>
      </c>
      <c r="G3" s="8">
        <v>0.4</v>
      </c>
      <c r="H3" s="8">
        <v>0.46</v>
      </c>
      <c r="I3" s="13">
        <v>0.6</v>
      </c>
      <c r="J3" s="13">
        <v>0.5</v>
      </c>
      <c r="K3" s="13">
        <v>0.08</v>
      </c>
      <c r="L3" s="13">
        <v>7.0000000000000007E-2</v>
      </c>
      <c r="M3" s="8">
        <v>0.87</v>
      </c>
      <c r="N3" s="8">
        <v>0.28000000000000003</v>
      </c>
      <c r="O3" s="8">
        <v>0.1</v>
      </c>
      <c r="P3" s="8" t="s">
        <v>198</v>
      </c>
      <c r="Q3" s="8" t="s">
        <v>252</v>
      </c>
      <c r="R3" s="8">
        <v>0.5</v>
      </c>
      <c r="S3" s="8">
        <v>0.45</v>
      </c>
      <c r="T3" s="8">
        <v>0.48</v>
      </c>
      <c r="U3" s="13">
        <v>7.0000000000000007E-2</v>
      </c>
      <c r="V3" s="13">
        <v>0.04</v>
      </c>
      <c r="W3" s="13">
        <v>0.03</v>
      </c>
      <c r="X3" s="13">
        <v>0.03</v>
      </c>
      <c r="Y3" s="13">
        <v>7.0000000000000007E-2</v>
      </c>
      <c r="Z3" s="13">
        <v>0</v>
      </c>
    </row>
    <row r="4" spans="1:26" x14ac:dyDescent="0.3">
      <c r="A4" s="8" t="s">
        <v>31</v>
      </c>
      <c r="B4" s="8" t="s">
        <v>29</v>
      </c>
      <c r="C4" s="8" t="s">
        <v>30</v>
      </c>
      <c r="D4" s="8">
        <v>1.3</v>
      </c>
      <c r="E4" s="8">
        <v>0.48</v>
      </c>
      <c r="F4" s="8">
        <v>0.19</v>
      </c>
      <c r="G4" s="8">
        <v>2</v>
      </c>
      <c r="H4" s="8">
        <v>0.11</v>
      </c>
      <c r="I4" s="13">
        <v>0.2</v>
      </c>
      <c r="J4" s="13">
        <v>0.2</v>
      </c>
      <c r="K4" s="13">
        <v>0.44</v>
      </c>
      <c r="L4" s="13">
        <v>0.1</v>
      </c>
      <c r="M4" s="8">
        <v>0.28999999999999998</v>
      </c>
      <c r="N4" s="8">
        <v>0.1</v>
      </c>
      <c r="O4" s="8">
        <v>0.04</v>
      </c>
      <c r="P4" s="8" t="s">
        <v>199</v>
      </c>
      <c r="Q4" s="8" t="s">
        <v>253</v>
      </c>
      <c r="R4" s="8">
        <v>0.21</v>
      </c>
      <c r="S4" s="8">
        <v>0.22</v>
      </c>
      <c r="T4" s="8">
        <v>0.18</v>
      </c>
      <c r="U4" s="13">
        <v>0.03</v>
      </c>
      <c r="V4" s="13">
        <v>0.02</v>
      </c>
      <c r="W4" s="13">
        <v>0.03</v>
      </c>
      <c r="X4" s="13">
        <v>0.03</v>
      </c>
      <c r="Y4" s="13">
        <v>0.04</v>
      </c>
      <c r="Z4" s="13">
        <v>0</v>
      </c>
    </row>
    <row r="5" spans="1:26" x14ac:dyDescent="0.3">
      <c r="A5" s="8" t="s">
        <v>32</v>
      </c>
      <c r="B5" s="8" t="s">
        <v>29</v>
      </c>
      <c r="C5" s="8" t="s">
        <v>30</v>
      </c>
      <c r="D5" s="8">
        <v>16</v>
      </c>
      <c r="E5" s="8">
        <v>5.4</v>
      </c>
      <c r="F5" s="8">
        <v>0.1</v>
      </c>
      <c r="G5" s="8">
        <v>1</v>
      </c>
      <c r="H5" s="8">
        <v>1</v>
      </c>
      <c r="I5" s="13">
        <v>3.1</v>
      </c>
      <c r="J5" s="13">
        <v>3.1</v>
      </c>
      <c r="K5" s="13">
        <v>0.1</v>
      </c>
      <c r="L5" s="13">
        <v>10.8</v>
      </c>
      <c r="M5" s="8">
        <v>1.6</v>
      </c>
      <c r="N5" s="8">
        <v>1.6</v>
      </c>
      <c r="O5" s="8">
        <v>1.5</v>
      </c>
      <c r="P5" s="8" t="s">
        <v>200</v>
      </c>
      <c r="Q5" s="8" t="s">
        <v>254</v>
      </c>
      <c r="R5" s="8">
        <v>2.6</v>
      </c>
      <c r="S5" s="8">
        <v>2.1</v>
      </c>
      <c r="T5" s="8">
        <v>1.6</v>
      </c>
      <c r="U5" s="13">
        <v>1</v>
      </c>
      <c r="V5" s="13">
        <v>0.6</v>
      </c>
      <c r="W5" s="13">
        <v>0.3</v>
      </c>
      <c r="X5" s="13">
        <v>0.3</v>
      </c>
      <c r="Y5" s="13">
        <v>1.1000000000000001</v>
      </c>
      <c r="Z5" s="13">
        <v>0</v>
      </c>
    </row>
    <row r="6" spans="1:26" x14ac:dyDescent="0.3">
      <c r="A6" s="8" t="s">
        <v>33</v>
      </c>
      <c r="B6" s="8" t="s">
        <v>29</v>
      </c>
      <c r="C6" s="8" t="s">
        <v>30</v>
      </c>
      <c r="D6" s="8">
        <v>5</v>
      </c>
      <c r="E6" s="8">
        <v>1.5</v>
      </c>
      <c r="F6" s="8">
        <v>0.33</v>
      </c>
      <c r="G6" s="8">
        <v>3</v>
      </c>
      <c r="H6" s="8">
        <v>1.1000000000000001</v>
      </c>
      <c r="I6" s="13">
        <v>0.5</v>
      </c>
      <c r="J6" s="13">
        <v>0.5</v>
      </c>
      <c r="K6" s="13">
        <v>1.4</v>
      </c>
      <c r="L6" s="13">
        <v>1</v>
      </c>
      <c r="M6" s="8">
        <v>0.15</v>
      </c>
      <c r="N6" s="8">
        <v>0.5</v>
      </c>
      <c r="O6" s="8">
        <v>0.8</v>
      </c>
      <c r="P6" s="8" t="s">
        <v>201</v>
      </c>
      <c r="Q6" s="8" t="s">
        <v>242</v>
      </c>
      <c r="R6" s="8">
        <v>1.2</v>
      </c>
      <c r="S6" s="8">
        <v>1.1000000000000001</v>
      </c>
      <c r="T6" s="8">
        <v>1</v>
      </c>
      <c r="U6" s="13">
        <v>0.27</v>
      </c>
      <c r="V6" s="13">
        <v>0.27</v>
      </c>
      <c r="W6" s="13">
        <v>0.2</v>
      </c>
      <c r="X6" s="13">
        <v>0.12</v>
      </c>
      <c r="Y6" s="13">
        <v>0.45</v>
      </c>
      <c r="Z6" s="13">
        <v>0</v>
      </c>
    </row>
    <row r="7" spans="1:26" x14ac:dyDescent="0.3">
      <c r="A7" s="8" t="s">
        <v>34</v>
      </c>
      <c r="B7" s="8" t="s">
        <v>29</v>
      </c>
      <c r="C7" s="8" t="s">
        <v>30</v>
      </c>
      <c r="D7" s="8">
        <v>1.3</v>
      </c>
      <c r="E7" s="8">
        <v>0.6</v>
      </c>
      <c r="F7" s="8">
        <v>0.04</v>
      </c>
      <c r="G7" s="8">
        <v>0.4</v>
      </c>
      <c r="H7" s="8">
        <v>0.12</v>
      </c>
      <c r="I7" s="13">
        <v>0.6</v>
      </c>
      <c r="J7" s="13">
        <v>0.5</v>
      </c>
      <c r="K7" s="13">
        <v>0.1</v>
      </c>
      <c r="L7" s="37">
        <v>0.6</v>
      </c>
      <c r="M7" s="8">
        <v>0.37</v>
      </c>
      <c r="N7" s="8">
        <v>0.35</v>
      </c>
      <c r="O7" s="8">
        <v>0.15</v>
      </c>
      <c r="P7" s="8" t="s">
        <v>202</v>
      </c>
      <c r="Q7" s="8" t="s">
        <v>255</v>
      </c>
      <c r="R7" s="8">
        <v>0.54</v>
      </c>
      <c r="S7" s="8">
        <v>0.41</v>
      </c>
      <c r="T7" s="8">
        <v>0.53</v>
      </c>
      <c r="U7" s="13">
        <v>0.14000000000000001</v>
      </c>
      <c r="V7" s="13">
        <v>0.08</v>
      </c>
      <c r="W7" s="13">
        <v>0.08</v>
      </c>
      <c r="X7" s="13">
        <v>7.0000000000000007E-2</v>
      </c>
      <c r="Y7" s="13">
        <v>0.11</v>
      </c>
      <c r="Z7" s="13">
        <v>0</v>
      </c>
    </row>
    <row r="8" spans="1:26" x14ac:dyDescent="0.3">
      <c r="A8" s="8" t="s">
        <v>35</v>
      </c>
      <c r="B8" s="8" t="s">
        <v>29</v>
      </c>
      <c r="C8" s="8" t="s">
        <v>27</v>
      </c>
      <c r="D8" s="8">
        <v>30</v>
      </c>
      <c r="E8" s="8">
        <v>9</v>
      </c>
      <c r="F8" s="8">
        <v>3</v>
      </c>
      <c r="G8" s="8">
        <v>20</v>
      </c>
      <c r="H8" s="8">
        <v>20</v>
      </c>
      <c r="I8" s="13" t="s">
        <v>113</v>
      </c>
      <c r="J8" s="13" t="s">
        <v>113</v>
      </c>
      <c r="K8" s="13">
        <v>10</v>
      </c>
      <c r="L8" s="13">
        <v>5</v>
      </c>
      <c r="M8" s="8">
        <v>7</v>
      </c>
      <c r="N8" s="8">
        <v>5</v>
      </c>
      <c r="O8" s="8">
        <v>2</v>
      </c>
      <c r="P8" s="8" t="s">
        <v>203</v>
      </c>
      <c r="Q8" s="8" t="s">
        <v>222</v>
      </c>
      <c r="R8" s="8">
        <v>6</v>
      </c>
      <c r="S8" s="8">
        <v>5</v>
      </c>
      <c r="T8" s="8">
        <v>6</v>
      </c>
      <c r="U8" s="13">
        <v>1</v>
      </c>
      <c r="V8" s="13">
        <v>0.6</v>
      </c>
      <c r="W8" s="13" t="s">
        <v>113</v>
      </c>
      <c r="X8" s="13">
        <v>0.4</v>
      </c>
      <c r="Y8" s="13">
        <v>2</v>
      </c>
      <c r="Z8" s="13">
        <v>0</v>
      </c>
    </row>
    <row r="9" spans="1:26" x14ac:dyDescent="0.3">
      <c r="A9" s="8" t="s">
        <v>36</v>
      </c>
      <c r="B9" s="8" t="s">
        <v>29</v>
      </c>
      <c r="C9" s="8" t="s">
        <v>27</v>
      </c>
      <c r="D9" s="8">
        <v>400</v>
      </c>
      <c r="E9" s="8">
        <v>300</v>
      </c>
      <c r="F9" s="8">
        <v>5</v>
      </c>
      <c r="G9" s="8">
        <v>45</v>
      </c>
      <c r="H9" s="8">
        <v>56</v>
      </c>
      <c r="I9" s="13">
        <v>87</v>
      </c>
      <c r="J9" s="13">
        <v>87</v>
      </c>
      <c r="K9" s="13">
        <v>47</v>
      </c>
      <c r="L9" s="13">
        <v>4</v>
      </c>
      <c r="M9" s="8">
        <v>200</v>
      </c>
      <c r="N9" s="8">
        <v>180</v>
      </c>
      <c r="O9" s="8">
        <v>8</v>
      </c>
      <c r="P9" s="8" t="s">
        <v>204</v>
      </c>
      <c r="Q9" s="8" t="s">
        <v>256</v>
      </c>
      <c r="R9" s="8">
        <v>480</v>
      </c>
      <c r="S9" s="8">
        <v>395</v>
      </c>
      <c r="T9" s="8">
        <v>550</v>
      </c>
      <c r="U9" s="13">
        <v>19</v>
      </c>
      <c r="V9" s="13">
        <v>15</v>
      </c>
      <c r="W9" s="13">
        <v>38</v>
      </c>
      <c r="X9" s="13">
        <v>109</v>
      </c>
      <c r="Y9" s="13">
        <v>49</v>
      </c>
      <c r="Z9" s="13">
        <v>0</v>
      </c>
    </row>
    <row r="10" spans="1:26" x14ac:dyDescent="0.3">
      <c r="A10" s="8" t="s">
        <v>37</v>
      </c>
      <c r="B10" s="8" t="s">
        <v>29</v>
      </c>
      <c r="C10" s="8" t="s">
        <v>27</v>
      </c>
      <c r="D10" s="8">
        <v>2.4</v>
      </c>
      <c r="E10" s="8">
        <v>0</v>
      </c>
      <c r="F10" s="8">
        <v>0.36</v>
      </c>
      <c r="G10" s="8">
        <v>4</v>
      </c>
      <c r="H10" s="8">
        <v>0</v>
      </c>
      <c r="I10" s="13">
        <v>0</v>
      </c>
      <c r="J10" s="13">
        <v>0</v>
      </c>
      <c r="K10" s="13">
        <v>1.1000000000000001</v>
      </c>
      <c r="L10" s="13">
        <v>0.3</v>
      </c>
      <c r="M10" s="8">
        <v>0</v>
      </c>
      <c r="N10" s="8">
        <v>0</v>
      </c>
      <c r="O10" s="8">
        <v>0</v>
      </c>
      <c r="P10" s="8" t="s">
        <v>197</v>
      </c>
      <c r="Q10" s="8" t="s">
        <v>197</v>
      </c>
      <c r="R10" s="8">
        <v>0</v>
      </c>
      <c r="S10" s="8">
        <v>0</v>
      </c>
      <c r="T10" s="8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</row>
    <row r="11" spans="1:26" x14ac:dyDescent="0.3">
      <c r="A11" s="8" t="s">
        <v>38</v>
      </c>
      <c r="B11" s="8" t="s">
        <v>29</v>
      </c>
      <c r="C11" s="8" t="s">
        <v>30</v>
      </c>
      <c r="D11" s="8">
        <v>90</v>
      </c>
      <c r="E11" s="8">
        <v>12</v>
      </c>
      <c r="F11" s="8">
        <v>1</v>
      </c>
      <c r="G11" s="8">
        <v>5</v>
      </c>
      <c r="H11" s="8">
        <v>0</v>
      </c>
      <c r="I11" s="14">
        <v>1.6</v>
      </c>
      <c r="J11" s="14">
        <v>1.6</v>
      </c>
      <c r="K11" s="14">
        <v>0</v>
      </c>
      <c r="L11" s="14">
        <v>0</v>
      </c>
      <c r="M11" s="8">
        <v>0</v>
      </c>
      <c r="N11" s="8">
        <v>3</v>
      </c>
      <c r="O11" s="8">
        <v>0</v>
      </c>
      <c r="P11" s="8" t="s">
        <v>205</v>
      </c>
      <c r="Q11" s="8" t="s">
        <v>205</v>
      </c>
      <c r="R11" s="8">
        <v>4</v>
      </c>
      <c r="S11" s="8">
        <v>3</v>
      </c>
      <c r="T11" s="8">
        <v>4</v>
      </c>
      <c r="U11" s="14">
        <v>5.9</v>
      </c>
      <c r="V11" s="14">
        <v>13.7</v>
      </c>
      <c r="W11" s="14">
        <v>10</v>
      </c>
      <c r="X11" s="14">
        <v>4.9000000000000004</v>
      </c>
      <c r="Y11" s="14">
        <v>228</v>
      </c>
      <c r="Z11" s="14">
        <v>0</v>
      </c>
    </row>
    <row r="12" spans="1:26" x14ac:dyDescent="0.3">
      <c r="A12" s="8" t="s">
        <v>39</v>
      </c>
      <c r="B12" s="8" t="s">
        <v>26</v>
      </c>
      <c r="C12" s="8" t="s">
        <v>40</v>
      </c>
      <c r="D12" s="8">
        <v>600</v>
      </c>
      <c r="E12" s="8">
        <v>0</v>
      </c>
      <c r="F12" s="8">
        <v>12</v>
      </c>
      <c r="G12" s="8">
        <v>0</v>
      </c>
      <c r="H12" s="8">
        <v>0</v>
      </c>
      <c r="I12" s="14">
        <v>0</v>
      </c>
      <c r="J12" s="14">
        <v>0</v>
      </c>
      <c r="K12" s="14">
        <v>82</v>
      </c>
      <c r="L12" s="8">
        <v>0.1</v>
      </c>
      <c r="M12" s="8">
        <v>0</v>
      </c>
      <c r="N12" s="8">
        <v>0</v>
      </c>
      <c r="O12" s="8">
        <v>0</v>
      </c>
      <c r="P12" s="8" t="s">
        <v>197</v>
      </c>
      <c r="Q12" s="8" t="s">
        <v>197</v>
      </c>
      <c r="R12" s="8">
        <v>0</v>
      </c>
      <c r="S12" s="8">
        <v>0</v>
      </c>
      <c r="T12" s="8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15</v>
      </c>
    </row>
    <row r="13" spans="1:26" x14ac:dyDescent="0.3">
      <c r="A13" s="8" t="s">
        <v>41</v>
      </c>
      <c r="B13" s="8" t="s">
        <v>26</v>
      </c>
      <c r="C13" s="8" t="s">
        <v>30</v>
      </c>
      <c r="D13" s="8">
        <v>15</v>
      </c>
      <c r="E13" s="8">
        <v>0</v>
      </c>
      <c r="F13" s="8">
        <v>7.0000000000000007E-2</v>
      </c>
      <c r="G13" s="8">
        <v>0.1</v>
      </c>
      <c r="H13" s="8">
        <v>0.4</v>
      </c>
      <c r="I13" s="14">
        <v>0.5</v>
      </c>
      <c r="J13" s="14">
        <v>0.3</v>
      </c>
      <c r="K13" s="14">
        <v>2</v>
      </c>
      <c r="L13" s="14">
        <v>0.3</v>
      </c>
      <c r="M13" s="8">
        <v>0.9</v>
      </c>
      <c r="N13" s="8">
        <v>0.6</v>
      </c>
      <c r="O13" s="8">
        <v>0</v>
      </c>
      <c r="P13" s="8" t="s">
        <v>206</v>
      </c>
      <c r="Q13" s="8" t="s">
        <v>257</v>
      </c>
      <c r="R13" s="8">
        <v>0.5</v>
      </c>
      <c r="S13" s="8">
        <v>0.6</v>
      </c>
      <c r="T13" s="8">
        <v>0.5</v>
      </c>
      <c r="U13" s="14">
        <v>0.66</v>
      </c>
      <c r="V13" s="14">
        <v>0.54</v>
      </c>
      <c r="W13" s="14">
        <v>0.6</v>
      </c>
      <c r="X13" s="14">
        <v>0.03</v>
      </c>
      <c r="Y13" s="14">
        <v>0.7</v>
      </c>
      <c r="Z13" s="14">
        <v>2.5</v>
      </c>
    </row>
    <row r="14" spans="1:26" x14ac:dyDescent="0.3">
      <c r="A14" s="8" t="s">
        <v>42</v>
      </c>
      <c r="B14" s="8" t="s">
        <v>26</v>
      </c>
      <c r="C14" s="8" t="s">
        <v>27</v>
      </c>
      <c r="D14" s="8">
        <v>120</v>
      </c>
      <c r="E14" s="8">
        <v>0</v>
      </c>
      <c r="F14" s="8">
        <v>0.2</v>
      </c>
      <c r="G14" s="8">
        <v>5</v>
      </c>
      <c r="H14" s="8">
        <v>2</v>
      </c>
      <c r="I14" s="14">
        <v>0</v>
      </c>
      <c r="J14" s="14">
        <v>0</v>
      </c>
      <c r="K14" s="14">
        <v>0.3</v>
      </c>
      <c r="L14" s="14">
        <v>2</v>
      </c>
      <c r="M14" s="8">
        <v>20</v>
      </c>
      <c r="N14" s="8">
        <v>7</v>
      </c>
      <c r="O14" s="8">
        <v>0</v>
      </c>
      <c r="P14" s="8" t="s">
        <v>207</v>
      </c>
      <c r="Q14" s="8" t="s">
        <v>258</v>
      </c>
      <c r="R14" s="8">
        <v>7</v>
      </c>
      <c r="S14" s="8">
        <v>6</v>
      </c>
      <c r="T14" s="8">
        <v>8</v>
      </c>
      <c r="U14" s="14">
        <v>13.2</v>
      </c>
      <c r="V14" s="14">
        <v>7.9</v>
      </c>
      <c r="W14" s="14">
        <v>16</v>
      </c>
      <c r="X14" s="14">
        <v>0.2</v>
      </c>
      <c r="Y14" s="14">
        <v>2</v>
      </c>
      <c r="Z14" s="14">
        <v>8</v>
      </c>
    </row>
    <row r="15" spans="1:26" x14ac:dyDescent="0.3">
      <c r="A15" s="8" t="s">
        <v>43</v>
      </c>
      <c r="B15" s="8" t="s">
        <v>26</v>
      </c>
      <c r="C15" s="8" t="s">
        <v>27</v>
      </c>
      <c r="D15" s="8">
        <v>90</v>
      </c>
      <c r="E15" s="8">
        <v>0</v>
      </c>
      <c r="F15" s="8">
        <v>1</v>
      </c>
      <c r="G15" s="8">
        <v>0</v>
      </c>
      <c r="H15" s="8">
        <v>0</v>
      </c>
      <c r="I15" s="14">
        <v>0</v>
      </c>
      <c r="J15" s="14">
        <v>0</v>
      </c>
      <c r="K15" s="14">
        <v>0.3</v>
      </c>
      <c r="L15" s="8">
        <v>0</v>
      </c>
      <c r="M15" s="8">
        <v>0</v>
      </c>
      <c r="N15" s="8">
        <v>0</v>
      </c>
      <c r="O15" s="8">
        <v>0</v>
      </c>
      <c r="P15" s="8" t="s">
        <v>197</v>
      </c>
      <c r="Q15" s="8" t="s">
        <v>197</v>
      </c>
      <c r="R15" s="8">
        <v>0</v>
      </c>
      <c r="S15" s="8">
        <v>0</v>
      </c>
      <c r="T15" s="8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</row>
    <row r="16" spans="1:26" x14ac:dyDescent="0.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 t="s">
        <v>44</v>
      </c>
      <c r="L16" s="16"/>
      <c r="M16" s="16"/>
      <c r="N16" s="16"/>
      <c r="O16" s="16"/>
      <c r="P16" s="16" t="s">
        <v>208</v>
      </c>
      <c r="Q16" s="16" t="s">
        <v>208</v>
      </c>
      <c r="R16" s="16"/>
      <c r="S16" s="16"/>
      <c r="T16" s="16"/>
      <c r="U16" s="16"/>
      <c r="V16" s="16"/>
      <c r="W16" s="16"/>
      <c r="X16" s="16"/>
      <c r="Y16" s="16"/>
      <c r="Z16" s="16"/>
    </row>
    <row r="17" spans="1:26" x14ac:dyDescent="0.3">
      <c r="A17" s="14" t="s">
        <v>45</v>
      </c>
      <c r="B17" s="14" t="s">
        <v>26</v>
      </c>
      <c r="C17" s="14" t="s">
        <v>30</v>
      </c>
      <c r="D17" s="14">
        <v>1000</v>
      </c>
      <c r="E17" s="14">
        <v>380</v>
      </c>
      <c r="F17" s="14">
        <v>120</v>
      </c>
      <c r="G17" s="14">
        <v>1200</v>
      </c>
      <c r="H17" s="14">
        <v>54</v>
      </c>
      <c r="I17" s="14">
        <v>631</v>
      </c>
      <c r="J17" s="14">
        <v>255</v>
      </c>
      <c r="K17" s="14">
        <v>56</v>
      </c>
      <c r="L17" s="8">
        <v>11</v>
      </c>
      <c r="M17" s="14">
        <v>350</v>
      </c>
      <c r="N17" s="14">
        <v>190</v>
      </c>
      <c r="O17" s="14">
        <v>10</v>
      </c>
      <c r="P17" s="14" t="s">
        <v>209</v>
      </c>
      <c r="Q17" s="14" t="s">
        <v>259</v>
      </c>
      <c r="R17" s="14">
        <v>68</v>
      </c>
      <c r="S17" s="14">
        <v>83</v>
      </c>
      <c r="T17" s="14">
        <v>56</v>
      </c>
      <c r="U17" s="14">
        <v>33</v>
      </c>
      <c r="V17" s="14">
        <v>10</v>
      </c>
      <c r="W17" s="14">
        <v>10</v>
      </c>
      <c r="X17" s="14">
        <v>16</v>
      </c>
      <c r="Y17" s="14">
        <v>18</v>
      </c>
      <c r="Z17" s="14">
        <v>2</v>
      </c>
    </row>
    <row r="18" spans="1:26" x14ac:dyDescent="0.3">
      <c r="A18" s="14" t="s">
        <v>46</v>
      </c>
      <c r="B18" s="14" t="s">
        <v>26</v>
      </c>
      <c r="C18" s="14" t="s">
        <v>30</v>
      </c>
      <c r="D18" s="14">
        <v>400</v>
      </c>
      <c r="E18" s="14">
        <v>102</v>
      </c>
      <c r="F18" s="14">
        <v>10</v>
      </c>
      <c r="G18" s="14">
        <v>100</v>
      </c>
      <c r="H18" s="14">
        <v>177</v>
      </c>
      <c r="I18" s="14">
        <v>335</v>
      </c>
      <c r="J18" s="14">
        <v>392</v>
      </c>
      <c r="K18" s="14">
        <v>11</v>
      </c>
      <c r="L18" s="8">
        <v>29</v>
      </c>
      <c r="M18" s="14">
        <v>280</v>
      </c>
      <c r="N18" s="14">
        <v>160</v>
      </c>
      <c r="O18" s="14">
        <v>25</v>
      </c>
      <c r="P18" s="14" t="s">
        <v>210</v>
      </c>
      <c r="Q18" s="14" t="s">
        <v>260</v>
      </c>
      <c r="R18" s="14">
        <v>122</v>
      </c>
      <c r="S18" s="14">
        <v>140</v>
      </c>
      <c r="T18" s="14">
        <v>120</v>
      </c>
      <c r="U18" s="14">
        <v>12</v>
      </c>
      <c r="V18" s="14">
        <v>11</v>
      </c>
      <c r="W18" s="14">
        <v>12</v>
      </c>
      <c r="X18" s="14">
        <v>23</v>
      </c>
      <c r="Y18" s="14">
        <v>22</v>
      </c>
      <c r="Z18" s="14">
        <v>2</v>
      </c>
    </row>
    <row r="19" spans="1:26" x14ac:dyDescent="0.3">
      <c r="A19" s="8" t="s">
        <v>47</v>
      </c>
      <c r="B19" s="8" t="s">
        <v>26</v>
      </c>
      <c r="C19" s="8" t="s">
        <v>30</v>
      </c>
      <c r="D19" s="8">
        <v>700</v>
      </c>
      <c r="E19" s="8">
        <v>246</v>
      </c>
      <c r="F19" s="8">
        <v>90</v>
      </c>
      <c r="G19" s="8">
        <v>1000</v>
      </c>
      <c r="H19" s="8">
        <v>523</v>
      </c>
      <c r="I19" s="14">
        <v>860</v>
      </c>
      <c r="J19" s="14">
        <v>642</v>
      </c>
      <c r="K19" s="14">
        <v>198</v>
      </c>
      <c r="L19" s="8">
        <v>210</v>
      </c>
      <c r="M19" s="8">
        <v>650</v>
      </c>
      <c r="N19" s="8">
        <v>300</v>
      </c>
      <c r="O19" s="8">
        <v>115</v>
      </c>
      <c r="P19" s="8" t="s">
        <v>211</v>
      </c>
      <c r="Q19" s="8" t="s">
        <v>261</v>
      </c>
      <c r="R19" s="8">
        <v>390</v>
      </c>
      <c r="S19" s="8">
        <v>410</v>
      </c>
      <c r="T19" s="8">
        <v>360</v>
      </c>
      <c r="U19" s="14">
        <v>35</v>
      </c>
      <c r="V19" s="14">
        <v>24</v>
      </c>
      <c r="W19" s="14">
        <v>36</v>
      </c>
      <c r="X19" s="14">
        <v>40</v>
      </c>
      <c r="Y19" s="14">
        <v>40</v>
      </c>
      <c r="Z19" s="14">
        <v>3</v>
      </c>
    </row>
    <row r="20" spans="1:26" x14ac:dyDescent="0.3">
      <c r="A20" s="8" t="s">
        <v>48</v>
      </c>
      <c r="B20" s="8" t="s">
        <v>29</v>
      </c>
      <c r="C20" s="8" t="s">
        <v>30</v>
      </c>
      <c r="D20" s="8">
        <v>3400</v>
      </c>
      <c r="E20" s="8">
        <v>90</v>
      </c>
      <c r="F20" s="8">
        <v>150</v>
      </c>
      <c r="G20" s="8">
        <v>1600</v>
      </c>
      <c r="H20" s="8">
        <v>429</v>
      </c>
      <c r="I20" s="14">
        <v>407</v>
      </c>
      <c r="J20" s="14">
        <v>813</v>
      </c>
      <c r="K20" s="14">
        <v>138</v>
      </c>
      <c r="L20" s="8">
        <v>256</v>
      </c>
      <c r="M20" s="8">
        <v>1700</v>
      </c>
      <c r="N20" s="8">
        <v>875</v>
      </c>
      <c r="O20" s="8">
        <v>115</v>
      </c>
      <c r="P20" s="8" t="s">
        <v>212</v>
      </c>
      <c r="Q20" s="8" t="s">
        <v>262</v>
      </c>
      <c r="R20" s="8">
        <v>980</v>
      </c>
      <c r="S20" s="8">
        <v>1350</v>
      </c>
      <c r="T20" s="8">
        <v>875</v>
      </c>
      <c r="U20" s="14">
        <v>320</v>
      </c>
      <c r="V20" s="14">
        <v>237</v>
      </c>
      <c r="W20" s="14">
        <v>236</v>
      </c>
      <c r="X20" s="14">
        <v>325</v>
      </c>
      <c r="Y20" s="14">
        <v>417</v>
      </c>
      <c r="Z20" s="14">
        <v>5</v>
      </c>
    </row>
    <row r="21" spans="1:26" x14ac:dyDescent="0.3">
      <c r="A21" s="8" t="s">
        <v>49</v>
      </c>
      <c r="B21" s="8" t="s">
        <v>29</v>
      </c>
      <c r="C21" s="8" t="s">
        <v>30</v>
      </c>
      <c r="D21" s="8">
        <v>1500</v>
      </c>
      <c r="E21" s="8">
        <v>25</v>
      </c>
      <c r="F21" s="8">
        <v>44</v>
      </c>
      <c r="G21" s="8">
        <v>500</v>
      </c>
      <c r="H21" s="8">
        <v>2</v>
      </c>
      <c r="I21" s="14">
        <v>16</v>
      </c>
      <c r="J21" s="14">
        <v>30</v>
      </c>
      <c r="K21" s="14">
        <v>142</v>
      </c>
      <c r="L21" s="14">
        <v>70</v>
      </c>
      <c r="M21" s="8">
        <v>2</v>
      </c>
      <c r="N21" s="8">
        <v>20</v>
      </c>
      <c r="O21" s="8">
        <v>2</v>
      </c>
      <c r="P21" s="8" t="s">
        <v>213</v>
      </c>
      <c r="Q21" s="8" t="s">
        <v>263</v>
      </c>
      <c r="R21" s="8">
        <v>10</v>
      </c>
      <c r="S21" s="8">
        <v>12</v>
      </c>
      <c r="T21" s="8">
        <v>10</v>
      </c>
      <c r="U21" s="14">
        <v>69</v>
      </c>
      <c r="V21" s="14">
        <v>5</v>
      </c>
      <c r="W21" s="14">
        <v>3</v>
      </c>
      <c r="X21" s="14">
        <v>78</v>
      </c>
      <c r="Y21" s="14">
        <v>2</v>
      </c>
      <c r="Z21" s="14">
        <v>2</v>
      </c>
    </row>
    <row r="22" spans="1:26" x14ac:dyDescent="0.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 t="s">
        <v>50</v>
      </c>
      <c r="L22" s="16"/>
      <c r="M22" s="16"/>
      <c r="N22" s="16"/>
      <c r="O22" s="16"/>
      <c r="P22" s="16" t="s">
        <v>208</v>
      </c>
      <c r="Q22" s="16" t="s">
        <v>208</v>
      </c>
      <c r="R22" s="16"/>
      <c r="S22" s="16"/>
      <c r="T22" s="16"/>
      <c r="U22" s="16"/>
      <c r="V22" s="16"/>
      <c r="W22" s="16"/>
      <c r="X22" s="16"/>
      <c r="Y22" s="16"/>
      <c r="Z22" s="16"/>
    </row>
    <row r="23" spans="1:26" x14ac:dyDescent="0.3">
      <c r="A23" s="14" t="s">
        <v>51</v>
      </c>
      <c r="B23" s="14" t="s">
        <v>26</v>
      </c>
      <c r="C23" s="14" t="s">
        <v>30</v>
      </c>
      <c r="D23" s="14">
        <v>8</v>
      </c>
      <c r="E23" s="14">
        <v>0.3</v>
      </c>
      <c r="F23" s="14">
        <v>0.1</v>
      </c>
      <c r="G23" s="14">
        <v>0.3</v>
      </c>
      <c r="H23" s="14">
        <v>4.7</v>
      </c>
      <c r="I23" s="14">
        <v>7.7</v>
      </c>
      <c r="J23" s="14">
        <v>5.7</v>
      </c>
      <c r="K23" s="14">
        <v>1.8</v>
      </c>
      <c r="L23" s="14">
        <v>0.7</v>
      </c>
      <c r="M23" s="14">
        <v>15.7</v>
      </c>
      <c r="N23" s="14">
        <v>7</v>
      </c>
      <c r="O23" s="14">
        <v>1</v>
      </c>
      <c r="P23" s="14" t="s">
        <v>214</v>
      </c>
      <c r="Q23" s="14" t="s">
        <v>264</v>
      </c>
      <c r="R23" s="14">
        <v>7.5</v>
      </c>
      <c r="S23" s="14">
        <v>8.1999999999999993</v>
      </c>
      <c r="T23" s="14">
        <v>6.2</v>
      </c>
      <c r="U23" s="14">
        <v>0.3</v>
      </c>
      <c r="V23" s="14">
        <v>0.27</v>
      </c>
      <c r="W23" s="14">
        <v>0.3</v>
      </c>
      <c r="X23" s="14">
        <v>0.8</v>
      </c>
      <c r="Y23" s="14">
        <v>0.3</v>
      </c>
      <c r="Z23" s="14">
        <v>0.1</v>
      </c>
    </row>
    <row r="24" spans="1:26" x14ac:dyDescent="0.3">
      <c r="A24" s="14" t="s">
        <v>52</v>
      </c>
      <c r="B24" s="14" t="s">
        <v>29</v>
      </c>
      <c r="C24" s="14" t="s">
        <v>30</v>
      </c>
      <c r="D24" s="14">
        <v>11</v>
      </c>
      <c r="E24" s="14">
        <v>3.6</v>
      </c>
      <c r="F24" s="14">
        <v>0.4</v>
      </c>
      <c r="G24" s="14">
        <v>3.5</v>
      </c>
      <c r="H24" s="14">
        <v>3.5</v>
      </c>
      <c r="I24" s="14">
        <v>4.5999999999999996</v>
      </c>
      <c r="J24" s="14">
        <v>4.3</v>
      </c>
      <c r="K24" s="14">
        <v>1.3</v>
      </c>
      <c r="L24" s="14">
        <v>1</v>
      </c>
      <c r="M24" s="14">
        <v>4.9000000000000004</v>
      </c>
      <c r="N24" s="14">
        <v>3.1</v>
      </c>
      <c r="O24" s="14">
        <v>1.2</v>
      </c>
      <c r="P24" s="14" t="s">
        <v>215</v>
      </c>
      <c r="Q24" s="14" t="s">
        <v>265</v>
      </c>
      <c r="R24" s="14">
        <v>2.5</v>
      </c>
      <c r="S24" s="14">
        <v>2.8</v>
      </c>
      <c r="T24" s="14">
        <v>2.6</v>
      </c>
      <c r="U24" s="14">
        <v>0.24</v>
      </c>
      <c r="V24" s="14">
        <v>0.17</v>
      </c>
      <c r="W24" s="14">
        <v>0.3</v>
      </c>
      <c r="X24" s="14">
        <v>0.35</v>
      </c>
      <c r="Y24" s="14">
        <v>0.23</v>
      </c>
      <c r="Z24" s="14">
        <v>0.1</v>
      </c>
    </row>
    <row r="25" spans="1:26" x14ac:dyDescent="0.3">
      <c r="A25" s="14" t="s">
        <v>53</v>
      </c>
      <c r="B25" s="14" t="s">
        <v>26</v>
      </c>
      <c r="C25" s="14" t="s">
        <v>27</v>
      </c>
      <c r="D25" s="14">
        <v>900</v>
      </c>
      <c r="E25" s="14">
        <v>1.5</v>
      </c>
      <c r="F25" s="14">
        <v>12</v>
      </c>
      <c r="G25" s="14">
        <v>0.05</v>
      </c>
      <c r="H25" s="14">
        <v>400</v>
      </c>
      <c r="I25" s="14">
        <v>920</v>
      </c>
      <c r="J25" s="14">
        <v>1220</v>
      </c>
      <c r="K25" s="14">
        <v>72</v>
      </c>
      <c r="L25" s="8">
        <v>40</v>
      </c>
      <c r="M25" s="26">
        <v>1500</v>
      </c>
      <c r="N25" s="14">
        <v>640</v>
      </c>
      <c r="O25" s="14">
        <v>0.15</v>
      </c>
      <c r="P25" s="14" t="s">
        <v>216</v>
      </c>
      <c r="Q25" s="14" t="s">
        <v>234</v>
      </c>
      <c r="R25" s="14">
        <v>0.75</v>
      </c>
      <c r="S25" s="14">
        <v>0.9</v>
      </c>
      <c r="T25" s="14">
        <v>0.7</v>
      </c>
      <c r="U25" s="14">
        <v>0.04</v>
      </c>
      <c r="V25" s="14">
        <v>0.05</v>
      </c>
      <c r="W25" s="14">
        <v>100</v>
      </c>
      <c r="X25" s="14">
        <v>0.08</v>
      </c>
      <c r="Y25" s="14">
        <v>0.05</v>
      </c>
      <c r="Z25" s="14">
        <v>15</v>
      </c>
    </row>
    <row r="26" spans="1:26" x14ac:dyDescent="0.3">
      <c r="A26" s="14" t="s">
        <v>54</v>
      </c>
      <c r="B26" s="14" t="s">
        <v>26</v>
      </c>
      <c r="C26" s="14" t="s">
        <v>27</v>
      </c>
      <c r="D26" s="14">
        <v>150</v>
      </c>
      <c r="E26" s="14">
        <v>45</v>
      </c>
      <c r="F26" s="14">
        <v>20</v>
      </c>
      <c r="G26" s="14">
        <v>200</v>
      </c>
      <c r="H26" s="14">
        <v>5</v>
      </c>
      <c r="I26" s="14" t="s">
        <v>113</v>
      </c>
      <c r="J26" s="14" t="s">
        <v>113</v>
      </c>
      <c r="K26" s="14">
        <v>50</v>
      </c>
      <c r="L26" s="8">
        <v>7</v>
      </c>
      <c r="M26" s="14">
        <v>3</v>
      </c>
      <c r="N26" s="14">
        <v>5</v>
      </c>
      <c r="O26" s="14">
        <v>0</v>
      </c>
      <c r="P26" s="14" t="s">
        <v>217</v>
      </c>
      <c r="Q26" s="14" t="s">
        <v>217</v>
      </c>
      <c r="R26" s="14">
        <v>3</v>
      </c>
      <c r="S26" s="14">
        <v>4</v>
      </c>
      <c r="T26" s="14">
        <v>3</v>
      </c>
      <c r="U26" s="14" t="s">
        <v>113</v>
      </c>
      <c r="V26" s="14" t="s">
        <v>113</v>
      </c>
      <c r="W26" s="14" t="s">
        <v>113</v>
      </c>
      <c r="X26" s="14" t="s">
        <v>113</v>
      </c>
      <c r="Y26" s="14">
        <v>2</v>
      </c>
      <c r="Z26" s="14">
        <v>3</v>
      </c>
    </row>
    <row r="27" spans="1:26" x14ac:dyDescent="0.3">
      <c r="A27" s="8" t="s">
        <v>55</v>
      </c>
      <c r="B27" s="8" t="s">
        <v>29</v>
      </c>
      <c r="C27" s="8" t="s">
        <v>27</v>
      </c>
      <c r="D27" s="8">
        <v>55</v>
      </c>
      <c r="E27" s="8">
        <v>12</v>
      </c>
      <c r="F27" s="8">
        <v>2</v>
      </c>
      <c r="G27" s="8">
        <v>30</v>
      </c>
      <c r="H27" s="8">
        <v>34</v>
      </c>
      <c r="I27" s="14">
        <v>56</v>
      </c>
      <c r="J27" s="14">
        <v>25</v>
      </c>
      <c r="K27" s="14">
        <v>30</v>
      </c>
      <c r="L27" s="8">
        <v>27</v>
      </c>
      <c r="M27" s="8">
        <v>17</v>
      </c>
      <c r="N27" s="8">
        <v>8</v>
      </c>
      <c r="O27" s="8">
        <v>7</v>
      </c>
      <c r="P27" s="8" t="s">
        <v>203</v>
      </c>
      <c r="Q27" s="8" t="s">
        <v>222</v>
      </c>
      <c r="R27" s="8">
        <v>5</v>
      </c>
      <c r="S27" s="8">
        <v>8</v>
      </c>
      <c r="T27" s="8">
        <v>6</v>
      </c>
      <c r="U27" s="14">
        <v>0.1</v>
      </c>
      <c r="V27" s="14">
        <v>0.5</v>
      </c>
      <c r="W27" s="14">
        <v>0.5</v>
      </c>
      <c r="X27" s="14">
        <v>0.4</v>
      </c>
      <c r="Y27" s="14">
        <v>3</v>
      </c>
      <c r="Z27" s="14">
        <v>1</v>
      </c>
    </row>
    <row r="28" spans="1:26" x14ac:dyDescent="0.3">
      <c r="A28" s="8" t="s">
        <v>56</v>
      </c>
      <c r="B28" s="8" t="s">
        <v>29</v>
      </c>
      <c r="C28" s="8" t="s">
        <v>27</v>
      </c>
      <c r="D28" s="8">
        <v>35</v>
      </c>
      <c r="E28" s="8">
        <v>6.9</v>
      </c>
      <c r="F28" s="8">
        <v>1</v>
      </c>
      <c r="G28" s="8">
        <v>3</v>
      </c>
      <c r="H28" s="8">
        <v>2</v>
      </c>
      <c r="I28" s="14">
        <v>0.2</v>
      </c>
      <c r="J28" s="14">
        <v>0.2</v>
      </c>
      <c r="K28" s="14">
        <v>0.1</v>
      </c>
      <c r="L28" s="8">
        <v>2</v>
      </c>
      <c r="M28" s="8">
        <v>2.5</v>
      </c>
      <c r="N28" s="8">
        <v>2</v>
      </c>
      <c r="O28" s="8">
        <v>2</v>
      </c>
      <c r="P28" s="8" t="s">
        <v>213</v>
      </c>
      <c r="Q28" s="8" t="s">
        <v>266</v>
      </c>
      <c r="R28" s="8">
        <v>11</v>
      </c>
      <c r="S28" s="8">
        <v>14</v>
      </c>
      <c r="T28" s="8">
        <v>10</v>
      </c>
      <c r="U28" s="14" t="s">
        <v>113</v>
      </c>
      <c r="V28" s="14" t="s">
        <v>113</v>
      </c>
      <c r="W28" s="14">
        <v>0.2</v>
      </c>
      <c r="X28" s="14" t="s">
        <v>113</v>
      </c>
      <c r="Y28" s="14">
        <v>6</v>
      </c>
      <c r="Z28" s="14">
        <v>0</v>
      </c>
    </row>
    <row r="29" spans="1:26" x14ac:dyDescent="0.3">
      <c r="A29" s="8" t="s">
        <v>57</v>
      </c>
      <c r="B29" s="8" t="s">
        <v>29</v>
      </c>
      <c r="C29" s="8" t="s">
        <v>30</v>
      </c>
      <c r="D29" s="8">
        <v>2</v>
      </c>
      <c r="E29" s="8">
        <v>1.2</v>
      </c>
      <c r="F29" s="8">
        <v>0.02</v>
      </c>
      <c r="G29" s="8">
        <v>0.1</v>
      </c>
      <c r="H29" s="8">
        <v>3.6</v>
      </c>
      <c r="I29" s="14">
        <v>2.7</v>
      </c>
      <c r="J29" s="14">
        <v>2.5</v>
      </c>
      <c r="K29" s="14">
        <v>0</v>
      </c>
      <c r="L29" s="14">
        <v>0.02</v>
      </c>
      <c r="M29" s="8">
        <v>2.2000000000000002</v>
      </c>
      <c r="N29" s="8">
        <v>1.8</v>
      </c>
      <c r="O29" s="8">
        <v>1.2</v>
      </c>
      <c r="P29" s="8" t="s">
        <v>218</v>
      </c>
      <c r="Q29" s="8" t="s">
        <v>267</v>
      </c>
      <c r="R29" s="8">
        <v>1.5</v>
      </c>
      <c r="S29" s="8">
        <v>1.6</v>
      </c>
      <c r="T29" s="8">
        <v>1.4</v>
      </c>
      <c r="U29" s="14">
        <v>0.14000000000000001</v>
      </c>
      <c r="V29" s="14">
        <v>0.04</v>
      </c>
      <c r="W29" s="14">
        <v>0.1</v>
      </c>
      <c r="X29" s="14">
        <v>0.3</v>
      </c>
      <c r="Y29" s="14">
        <v>0.2</v>
      </c>
      <c r="Z29" s="14">
        <v>0</v>
      </c>
    </row>
    <row r="30" spans="1:26" x14ac:dyDescent="0.3">
      <c r="A30" s="8" t="s">
        <v>58</v>
      </c>
      <c r="B30" s="8" t="s">
        <v>29</v>
      </c>
      <c r="C30" s="8" t="s">
        <v>27</v>
      </c>
      <c r="D30" s="8">
        <v>45</v>
      </c>
      <c r="E30" s="8">
        <v>0</v>
      </c>
      <c r="F30" s="8">
        <v>5</v>
      </c>
      <c r="G30" s="8">
        <v>20</v>
      </c>
      <c r="H30" s="8">
        <v>50</v>
      </c>
      <c r="I30" s="14">
        <v>2</v>
      </c>
      <c r="J30" s="14">
        <v>2</v>
      </c>
      <c r="K30" s="14">
        <v>2</v>
      </c>
      <c r="L30" s="14">
        <v>5</v>
      </c>
      <c r="M30" s="8">
        <v>40</v>
      </c>
      <c r="N30" s="8">
        <v>30</v>
      </c>
      <c r="O30" s="8">
        <v>40</v>
      </c>
      <c r="P30" s="8" t="s">
        <v>219</v>
      </c>
      <c r="Q30" s="8" t="s">
        <v>268</v>
      </c>
      <c r="R30" s="8">
        <v>120</v>
      </c>
      <c r="S30" s="8">
        <v>140</v>
      </c>
      <c r="T30" s="8">
        <v>115</v>
      </c>
      <c r="U30" s="14" t="s">
        <v>113</v>
      </c>
      <c r="V30" s="14" t="s">
        <v>113</v>
      </c>
      <c r="W30" s="14">
        <v>2</v>
      </c>
      <c r="X30" s="14" t="s">
        <v>113</v>
      </c>
      <c r="Y30" s="14">
        <v>15</v>
      </c>
      <c r="Z30" s="14">
        <v>0</v>
      </c>
    </row>
    <row r="31" spans="1:26" x14ac:dyDescent="0.3">
      <c r="A31" s="8" t="s">
        <v>59</v>
      </c>
      <c r="B31" s="8" t="s">
        <v>26</v>
      </c>
      <c r="C31" s="8" t="s">
        <v>30</v>
      </c>
      <c r="D31" s="8">
        <v>3</v>
      </c>
      <c r="E31" s="8">
        <v>0</v>
      </c>
      <c r="F31" s="8">
        <v>0.01</v>
      </c>
      <c r="G31" s="8">
        <v>25</v>
      </c>
      <c r="H31" s="8">
        <v>0.2</v>
      </c>
      <c r="I31" s="14" t="s">
        <v>113</v>
      </c>
      <c r="J31" s="14" t="s">
        <v>113</v>
      </c>
      <c r="K31" s="14" t="s">
        <v>113</v>
      </c>
      <c r="L31" s="8">
        <v>0</v>
      </c>
      <c r="M31" s="8">
        <v>0.3</v>
      </c>
      <c r="N31" s="8">
        <v>0.2</v>
      </c>
      <c r="O31" s="8">
        <v>0</v>
      </c>
      <c r="P31" s="8" t="s">
        <v>220</v>
      </c>
      <c r="Q31" s="8" t="s">
        <v>269</v>
      </c>
      <c r="R31" s="8">
        <v>38</v>
      </c>
      <c r="S31" s="8">
        <v>42</v>
      </c>
      <c r="T31" s="8">
        <v>36</v>
      </c>
      <c r="U31" s="14" t="s">
        <v>113</v>
      </c>
      <c r="V31" s="14" t="s">
        <v>113</v>
      </c>
      <c r="W31" s="14" t="s">
        <v>113</v>
      </c>
      <c r="X31" s="14" t="s">
        <v>113</v>
      </c>
      <c r="Y31" s="14">
        <v>2</v>
      </c>
      <c r="Z31" s="14" t="s">
        <v>113</v>
      </c>
    </row>
    <row r="32" spans="1:26" x14ac:dyDescent="0.3">
      <c r="A32" s="8" t="s">
        <v>60</v>
      </c>
      <c r="B32" s="8" t="s">
        <v>29</v>
      </c>
      <c r="C32" s="8" t="s">
        <v>30</v>
      </c>
      <c r="D32" s="8">
        <v>1</v>
      </c>
      <c r="E32" s="8">
        <v>0</v>
      </c>
      <c r="F32" s="8">
        <v>0.2</v>
      </c>
      <c r="G32" s="8">
        <v>0.1</v>
      </c>
      <c r="H32" s="8">
        <v>0.9</v>
      </c>
      <c r="I32" s="14" t="s">
        <v>113</v>
      </c>
      <c r="J32" s="14" t="s">
        <v>113</v>
      </c>
      <c r="K32" s="14" t="s">
        <v>113</v>
      </c>
      <c r="L32" s="8">
        <v>0</v>
      </c>
      <c r="M32" s="8">
        <v>0.5</v>
      </c>
      <c r="N32" s="8">
        <v>0.4</v>
      </c>
      <c r="O32" s="8">
        <v>0.1</v>
      </c>
      <c r="P32" s="8" t="s">
        <v>221</v>
      </c>
      <c r="Q32" s="8" t="s">
        <v>270</v>
      </c>
      <c r="R32" s="8">
        <v>0.7</v>
      </c>
      <c r="S32" s="8">
        <v>0.8</v>
      </c>
      <c r="T32" s="8">
        <v>0.6</v>
      </c>
      <c r="U32" s="14" t="s">
        <v>113</v>
      </c>
      <c r="V32" s="14" t="s">
        <v>113</v>
      </c>
      <c r="W32" s="14" t="s">
        <v>113</v>
      </c>
      <c r="X32" s="14" t="s">
        <v>113</v>
      </c>
      <c r="Y32" s="14">
        <v>0.1</v>
      </c>
      <c r="Z32" s="14" t="s">
        <v>113</v>
      </c>
    </row>
    <row r="33" spans="1:26" x14ac:dyDescent="0.3">
      <c r="A33" s="8" t="s">
        <v>61</v>
      </c>
      <c r="B33" s="8" t="s">
        <v>29</v>
      </c>
      <c r="C33" s="8" t="s">
        <v>30</v>
      </c>
      <c r="D33" s="8">
        <v>10</v>
      </c>
      <c r="E33" s="8">
        <v>0</v>
      </c>
      <c r="F33" s="8">
        <v>0.3</v>
      </c>
      <c r="G33" s="8">
        <v>1</v>
      </c>
      <c r="H33" s="8">
        <v>6</v>
      </c>
      <c r="I33" s="14" t="s">
        <v>113</v>
      </c>
      <c r="J33" s="14" t="s">
        <v>113</v>
      </c>
      <c r="K33" s="14" t="s">
        <v>113</v>
      </c>
      <c r="L33" s="8">
        <v>0</v>
      </c>
      <c r="M33" s="8">
        <v>4</v>
      </c>
      <c r="N33" s="8">
        <v>2</v>
      </c>
      <c r="O33" s="8">
        <v>5</v>
      </c>
      <c r="P33" s="8" t="s">
        <v>222</v>
      </c>
      <c r="Q33" s="8" t="s">
        <v>271</v>
      </c>
      <c r="R33" s="8">
        <v>6</v>
      </c>
      <c r="S33" s="8">
        <v>7</v>
      </c>
      <c r="T33" s="8">
        <v>6</v>
      </c>
      <c r="U33" s="14" t="s">
        <v>113</v>
      </c>
      <c r="V33" s="14" t="s">
        <v>113</v>
      </c>
      <c r="W33" s="14" t="s">
        <v>113</v>
      </c>
      <c r="X33" s="14" t="s">
        <v>113</v>
      </c>
      <c r="Y33" s="14">
        <v>1</v>
      </c>
      <c r="Z33" s="14" t="s">
        <v>113</v>
      </c>
    </row>
    <row r="34" spans="1:26" x14ac:dyDescent="0.3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 t="s">
        <v>62</v>
      </c>
      <c r="L34" s="16"/>
      <c r="M34" s="16"/>
      <c r="N34" s="16"/>
      <c r="O34" s="16"/>
      <c r="P34" s="16" t="s">
        <v>208</v>
      </c>
      <c r="Q34" s="16" t="s">
        <v>208</v>
      </c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21" x14ac:dyDescent="0.4">
      <c r="A35" s="18" t="s">
        <v>63</v>
      </c>
      <c r="B35" s="13" t="s">
        <v>64</v>
      </c>
      <c r="C35" s="8" t="s">
        <v>63</v>
      </c>
      <c r="D35" s="8">
        <v>1500</v>
      </c>
      <c r="E35" s="8">
        <v>369</v>
      </c>
      <c r="F35" s="8">
        <v>67</v>
      </c>
      <c r="G35" s="8">
        <v>360</v>
      </c>
      <c r="H35" s="8">
        <v>389</v>
      </c>
      <c r="I35" s="14">
        <v>486</v>
      </c>
      <c r="J35" s="14">
        <v>534</v>
      </c>
      <c r="K35" s="14">
        <v>143</v>
      </c>
      <c r="L35" s="14">
        <v>120</v>
      </c>
      <c r="M35" s="8">
        <v>345</v>
      </c>
      <c r="N35" s="8">
        <v>360</v>
      </c>
      <c r="O35" s="8">
        <v>360</v>
      </c>
      <c r="P35" s="8" t="s">
        <v>223</v>
      </c>
      <c r="Q35" s="8" t="s">
        <v>272</v>
      </c>
      <c r="R35" s="8">
        <v>352</v>
      </c>
      <c r="S35" s="8">
        <v>333</v>
      </c>
      <c r="T35" s="8">
        <v>364</v>
      </c>
      <c r="U35" s="14">
        <v>41</v>
      </c>
      <c r="V35" s="14">
        <v>18</v>
      </c>
      <c r="W35" s="14">
        <v>83</v>
      </c>
      <c r="X35" s="14">
        <v>43</v>
      </c>
      <c r="Y35" s="14">
        <v>68</v>
      </c>
      <c r="Z35" s="14">
        <v>896</v>
      </c>
    </row>
    <row r="36" spans="1:26" ht="21" x14ac:dyDescent="0.4">
      <c r="A36" s="18" t="s">
        <v>66</v>
      </c>
      <c r="B36" s="13" t="s">
        <v>64</v>
      </c>
      <c r="C36" s="8" t="s">
        <v>65</v>
      </c>
      <c r="D36" s="13">
        <v>130</v>
      </c>
      <c r="E36" s="13">
        <v>32.44</v>
      </c>
      <c r="F36" s="13">
        <v>4.8</v>
      </c>
      <c r="G36" s="13">
        <v>52</v>
      </c>
      <c r="H36" s="13">
        <v>66</v>
      </c>
      <c r="I36" s="14">
        <v>42</v>
      </c>
      <c r="J36" s="14">
        <v>29</v>
      </c>
      <c r="K36" s="14">
        <v>0.7</v>
      </c>
      <c r="L36" s="14">
        <v>0</v>
      </c>
      <c r="M36" s="13">
        <v>33</v>
      </c>
      <c r="N36" s="13">
        <v>60</v>
      </c>
      <c r="O36" s="13">
        <v>78</v>
      </c>
      <c r="P36" s="13" t="s">
        <v>224</v>
      </c>
      <c r="Q36" s="13" t="s">
        <v>224</v>
      </c>
      <c r="R36" s="13">
        <v>60</v>
      </c>
      <c r="S36" s="13">
        <v>61</v>
      </c>
      <c r="T36" s="13">
        <v>61</v>
      </c>
      <c r="U36" s="14">
        <v>9.6</v>
      </c>
      <c r="V36" s="14">
        <v>3.9</v>
      </c>
      <c r="W36" s="14">
        <v>19</v>
      </c>
      <c r="X36" s="14">
        <v>9.6</v>
      </c>
      <c r="Y36" s="14">
        <v>14</v>
      </c>
      <c r="Z36" s="14">
        <v>0</v>
      </c>
    </row>
    <row r="37" spans="1:26" x14ac:dyDescent="0.3">
      <c r="A37" s="13" t="s">
        <v>67</v>
      </c>
      <c r="B37" s="13" t="s">
        <v>68</v>
      </c>
      <c r="C37" s="8" t="s">
        <v>65</v>
      </c>
      <c r="D37" s="13">
        <v>0</v>
      </c>
      <c r="E37" s="13">
        <v>3.5</v>
      </c>
      <c r="F37" s="13">
        <v>0.1</v>
      </c>
      <c r="G37" s="13">
        <v>0</v>
      </c>
      <c r="H37" s="13">
        <v>0.2</v>
      </c>
      <c r="I37" s="14">
        <v>0.5</v>
      </c>
      <c r="J37" s="14">
        <v>0.5</v>
      </c>
      <c r="K37" s="14">
        <v>0.3</v>
      </c>
      <c r="L37" s="14">
        <v>0</v>
      </c>
      <c r="M37" s="13">
        <v>0.2</v>
      </c>
      <c r="N37" s="13">
        <v>0.4</v>
      </c>
      <c r="O37" s="13">
        <v>0.1</v>
      </c>
      <c r="P37" s="13" t="s">
        <v>206</v>
      </c>
      <c r="Q37" s="13" t="s">
        <v>257</v>
      </c>
      <c r="R37" s="13">
        <v>0.8</v>
      </c>
      <c r="S37" s="13">
        <v>0.9</v>
      </c>
      <c r="T37" s="13">
        <v>0.7</v>
      </c>
      <c r="U37" s="14" t="s">
        <v>173</v>
      </c>
      <c r="V37" s="14" t="s">
        <v>172</v>
      </c>
      <c r="W37" s="14">
        <v>4</v>
      </c>
      <c r="X37" s="14" t="s">
        <v>171</v>
      </c>
      <c r="Y37" s="14">
        <v>2.5</v>
      </c>
      <c r="Z37" s="14">
        <v>0</v>
      </c>
    </row>
    <row r="38" spans="1:26" x14ac:dyDescent="0.3">
      <c r="A38" s="13" t="s">
        <v>69</v>
      </c>
      <c r="B38" s="13" t="s">
        <v>68</v>
      </c>
      <c r="C38" s="8" t="s">
        <v>65</v>
      </c>
      <c r="D38" s="13">
        <v>0</v>
      </c>
      <c r="E38" s="13">
        <v>2.8</v>
      </c>
      <c r="F38" s="13">
        <v>0</v>
      </c>
      <c r="G38" s="13">
        <v>0</v>
      </c>
      <c r="H38" s="13">
        <v>0.3</v>
      </c>
      <c r="I38" s="14">
        <v>0.5</v>
      </c>
      <c r="J38" s="14">
        <v>0.5</v>
      </c>
      <c r="K38" s="14">
        <v>0.3</v>
      </c>
      <c r="L38" s="14">
        <v>0</v>
      </c>
      <c r="M38" s="13">
        <v>0.2</v>
      </c>
      <c r="N38" s="13">
        <v>0.3</v>
      </c>
      <c r="O38" s="13">
        <v>0</v>
      </c>
      <c r="P38" s="13" t="s">
        <v>225</v>
      </c>
      <c r="Q38" s="13" t="s">
        <v>273</v>
      </c>
      <c r="R38" s="13">
        <v>0.5</v>
      </c>
      <c r="S38" s="13">
        <v>0.6</v>
      </c>
      <c r="T38" s="13">
        <v>0.4</v>
      </c>
      <c r="U38" s="14" t="s">
        <v>176</v>
      </c>
      <c r="V38" s="14" t="s">
        <v>175</v>
      </c>
      <c r="W38" s="14">
        <v>4</v>
      </c>
      <c r="X38" s="14" t="s">
        <v>171</v>
      </c>
      <c r="Y38" s="14">
        <v>2.2999999999999998</v>
      </c>
      <c r="Z38" s="14">
        <v>0</v>
      </c>
    </row>
    <row r="39" spans="1:26" x14ac:dyDescent="0.3">
      <c r="A39" s="13" t="s">
        <v>70</v>
      </c>
      <c r="B39" s="13" t="s">
        <v>68</v>
      </c>
      <c r="C39" s="8" t="s">
        <v>65</v>
      </c>
      <c r="D39" s="13">
        <v>0</v>
      </c>
      <c r="E39" s="13">
        <v>6</v>
      </c>
      <c r="F39" s="13">
        <v>0</v>
      </c>
      <c r="G39" s="13">
        <v>0</v>
      </c>
      <c r="H39" s="13">
        <v>0.5</v>
      </c>
      <c r="I39" s="14">
        <v>0.5</v>
      </c>
      <c r="J39" s="14">
        <v>0.5</v>
      </c>
      <c r="K39" s="14">
        <v>0.3</v>
      </c>
      <c r="L39" s="14">
        <v>0</v>
      </c>
      <c r="M39" s="13">
        <v>0.1</v>
      </c>
      <c r="N39" s="13">
        <v>0.2</v>
      </c>
      <c r="O39" s="13">
        <v>0.1</v>
      </c>
      <c r="P39" s="13" t="s">
        <v>201</v>
      </c>
      <c r="Q39" s="13" t="s">
        <v>242</v>
      </c>
      <c r="R39" s="13">
        <v>1.2</v>
      </c>
      <c r="S39" s="13">
        <v>1.5</v>
      </c>
      <c r="T39" s="13">
        <v>1.1000000000000001</v>
      </c>
      <c r="U39" s="14" t="s">
        <v>177</v>
      </c>
      <c r="V39" s="14" t="s">
        <v>178</v>
      </c>
      <c r="W39" s="14">
        <v>5</v>
      </c>
      <c r="X39" s="14" t="s">
        <v>177</v>
      </c>
      <c r="Y39" s="14">
        <v>1.2</v>
      </c>
      <c r="Z39" s="14">
        <v>0</v>
      </c>
    </row>
    <row r="40" spans="1:26" x14ac:dyDescent="0.3">
      <c r="A40" s="13" t="s">
        <v>71</v>
      </c>
      <c r="B40" s="13" t="s">
        <v>68</v>
      </c>
      <c r="C40" s="8" t="s">
        <v>65</v>
      </c>
      <c r="D40" s="13">
        <v>0</v>
      </c>
      <c r="E40" s="13">
        <v>18</v>
      </c>
      <c r="F40" s="13">
        <v>4.8</v>
      </c>
      <c r="G40" s="13">
        <v>52</v>
      </c>
      <c r="H40" s="13">
        <v>0</v>
      </c>
      <c r="I40" s="14">
        <v>0</v>
      </c>
      <c r="J40" s="14">
        <v>0</v>
      </c>
      <c r="K40" s="14">
        <v>0</v>
      </c>
      <c r="L40" s="14">
        <v>0</v>
      </c>
      <c r="M40" s="13">
        <v>0</v>
      </c>
      <c r="N40" s="13">
        <v>0</v>
      </c>
      <c r="O40" s="13">
        <v>0</v>
      </c>
      <c r="P40" s="13" t="s">
        <v>197</v>
      </c>
      <c r="Q40" s="13" t="s">
        <v>197</v>
      </c>
      <c r="R40" s="13">
        <v>0</v>
      </c>
      <c r="S40" s="13">
        <v>0</v>
      </c>
      <c r="T40" s="13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</row>
    <row r="41" spans="1:26" ht="28.8" x14ac:dyDescent="0.3">
      <c r="A41" s="13" t="s">
        <v>72</v>
      </c>
      <c r="B41" s="13" t="s">
        <v>73</v>
      </c>
      <c r="C41" s="8" t="s">
        <v>65</v>
      </c>
      <c r="D41" s="13">
        <v>0</v>
      </c>
      <c r="E41" s="13">
        <v>6</v>
      </c>
      <c r="F41" s="13">
        <v>0</v>
      </c>
      <c r="G41" s="13">
        <v>0</v>
      </c>
      <c r="H41" s="13">
        <v>20</v>
      </c>
      <c r="I41" s="14" t="s">
        <v>113</v>
      </c>
      <c r="J41" s="14" t="s">
        <v>113</v>
      </c>
      <c r="K41" s="14" t="s">
        <v>113</v>
      </c>
      <c r="L41" s="14">
        <v>0</v>
      </c>
      <c r="M41" s="13">
        <v>15</v>
      </c>
      <c r="N41" s="13">
        <v>30</v>
      </c>
      <c r="O41" s="13">
        <v>55</v>
      </c>
      <c r="P41" s="13" t="s">
        <v>226</v>
      </c>
      <c r="Q41" s="13" t="s">
        <v>274</v>
      </c>
      <c r="R41" s="13">
        <v>20</v>
      </c>
      <c r="S41" s="13">
        <v>21</v>
      </c>
      <c r="T41" s="13">
        <v>22</v>
      </c>
      <c r="U41" s="14">
        <v>6.5</v>
      </c>
      <c r="V41" s="14">
        <v>0.3</v>
      </c>
      <c r="W41" s="14" t="s">
        <v>113</v>
      </c>
      <c r="X41" s="14">
        <v>0.5</v>
      </c>
      <c r="Y41" s="14">
        <v>4</v>
      </c>
      <c r="Z41" s="14">
        <v>0</v>
      </c>
    </row>
    <row r="42" spans="1:26" ht="28.8" x14ac:dyDescent="0.3">
      <c r="A42" s="13" t="s">
        <v>74</v>
      </c>
      <c r="B42" s="13" t="s">
        <v>73</v>
      </c>
      <c r="C42" s="8" t="s">
        <v>65</v>
      </c>
      <c r="D42" s="13">
        <v>0</v>
      </c>
      <c r="E42" s="13">
        <v>8</v>
      </c>
      <c r="F42" s="13">
        <v>0</v>
      </c>
      <c r="G42" s="13">
        <v>0</v>
      </c>
      <c r="H42" s="13">
        <v>35</v>
      </c>
      <c r="I42" s="14" t="s">
        <v>113</v>
      </c>
      <c r="J42" s="14" t="s">
        <v>113</v>
      </c>
      <c r="K42" s="14" t="s">
        <v>113</v>
      </c>
      <c r="L42" s="14">
        <v>0</v>
      </c>
      <c r="M42" s="13">
        <v>10</v>
      </c>
      <c r="N42" s="13">
        <v>25</v>
      </c>
      <c r="O42" s="13">
        <v>20</v>
      </c>
      <c r="P42" s="13" t="s">
        <v>227</v>
      </c>
      <c r="Q42" s="13" t="s">
        <v>275</v>
      </c>
      <c r="R42" s="13">
        <v>31</v>
      </c>
      <c r="S42" s="13">
        <v>33</v>
      </c>
      <c r="T42" s="13">
        <v>32</v>
      </c>
      <c r="U42" s="14">
        <v>1.5</v>
      </c>
      <c r="V42" s="14">
        <v>0.3</v>
      </c>
      <c r="W42" s="14" t="s">
        <v>113</v>
      </c>
      <c r="X42" s="14">
        <v>0.5</v>
      </c>
      <c r="Y42" s="14">
        <v>6</v>
      </c>
      <c r="Z42" s="14">
        <v>0</v>
      </c>
    </row>
    <row r="43" spans="1:26" ht="21" x14ac:dyDescent="0.4">
      <c r="A43" s="18" t="s">
        <v>75</v>
      </c>
      <c r="B43" s="13" t="s">
        <v>64</v>
      </c>
      <c r="C43" s="8" t="s">
        <v>65</v>
      </c>
      <c r="D43" s="13">
        <v>50</v>
      </c>
      <c r="E43" s="13">
        <v>53.37</v>
      </c>
      <c r="F43" s="13">
        <v>3.2</v>
      </c>
      <c r="G43" s="13">
        <v>36</v>
      </c>
      <c r="H43" s="13">
        <v>13</v>
      </c>
      <c r="I43" s="14">
        <v>16.5</v>
      </c>
      <c r="J43" s="14">
        <v>18.3</v>
      </c>
      <c r="K43" s="14">
        <v>12.6</v>
      </c>
      <c r="L43" s="8">
        <v>22.5</v>
      </c>
      <c r="M43" s="13">
        <v>52</v>
      </c>
      <c r="N43" s="13">
        <v>20</v>
      </c>
      <c r="O43" s="13">
        <v>7.5</v>
      </c>
      <c r="P43" s="13" t="s">
        <v>228</v>
      </c>
      <c r="Q43" s="13" t="s">
        <v>276</v>
      </c>
      <c r="R43" s="13">
        <v>25.1</v>
      </c>
      <c r="S43" s="13">
        <v>24</v>
      </c>
      <c r="T43" s="13">
        <v>22.5</v>
      </c>
      <c r="U43" s="14">
        <v>0.9</v>
      </c>
      <c r="V43" s="14">
        <v>0.9</v>
      </c>
      <c r="W43" s="14">
        <v>1.7</v>
      </c>
      <c r="X43" s="14">
        <v>1.6</v>
      </c>
      <c r="Y43" s="14">
        <v>2.6</v>
      </c>
      <c r="Z43" s="14">
        <v>0.3</v>
      </c>
    </row>
    <row r="44" spans="1:26" x14ac:dyDescent="0.3">
      <c r="A44" s="13" t="s">
        <v>76</v>
      </c>
      <c r="B44" s="13" t="s">
        <v>77</v>
      </c>
      <c r="C44" s="8" t="s">
        <v>65</v>
      </c>
      <c r="D44" s="13">
        <v>3</v>
      </c>
      <c r="E44" s="13">
        <v>4.8</v>
      </c>
      <c r="F44" s="13">
        <v>0.3</v>
      </c>
      <c r="G44" s="13">
        <v>3.2</v>
      </c>
      <c r="H44" s="13">
        <v>1.2</v>
      </c>
      <c r="I44" s="14">
        <v>1.2</v>
      </c>
      <c r="J44" s="14">
        <v>1.3</v>
      </c>
      <c r="K44" s="14">
        <v>1.1000000000000001</v>
      </c>
      <c r="L44" s="8">
        <v>1.9</v>
      </c>
      <c r="M44" s="13">
        <v>3.5</v>
      </c>
      <c r="N44" s="13">
        <v>1.6</v>
      </c>
      <c r="O44" s="13">
        <v>0.6</v>
      </c>
      <c r="P44" s="13" t="s">
        <v>229</v>
      </c>
      <c r="Q44" s="13" t="s">
        <v>277</v>
      </c>
      <c r="R44" s="13">
        <v>1.85</v>
      </c>
      <c r="S44" s="13">
        <v>1.75</v>
      </c>
      <c r="T44" s="13">
        <v>1.7</v>
      </c>
      <c r="U44" s="14">
        <v>0.05</v>
      </c>
      <c r="V44" s="14">
        <v>0.04</v>
      </c>
      <c r="W44" s="14">
        <v>0.1</v>
      </c>
      <c r="X44" s="14">
        <v>0.08</v>
      </c>
      <c r="Y44" s="14">
        <v>0.18</v>
      </c>
      <c r="Z44" s="14" t="s">
        <v>113</v>
      </c>
    </row>
    <row r="45" spans="1:26" x14ac:dyDescent="0.3">
      <c r="A45" s="13" t="s">
        <v>78</v>
      </c>
      <c r="B45" s="13" t="s">
        <v>77</v>
      </c>
      <c r="C45" s="8" t="s">
        <v>65</v>
      </c>
      <c r="D45" s="13">
        <v>1.6</v>
      </c>
      <c r="E45" s="13">
        <v>3.1</v>
      </c>
      <c r="F45" s="13">
        <v>0.17</v>
      </c>
      <c r="G45" s="13">
        <v>2</v>
      </c>
      <c r="H45" s="13">
        <v>0.7</v>
      </c>
      <c r="I45" s="14">
        <v>0.6</v>
      </c>
      <c r="J45" s="14">
        <v>0.7</v>
      </c>
      <c r="K45" s="14">
        <v>0.7</v>
      </c>
      <c r="L45" s="14">
        <v>1.2</v>
      </c>
      <c r="M45" s="13">
        <v>2</v>
      </c>
      <c r="N45" s="13">
        <v>0.9</v>
      </c>
      <c r="O45" s="13">
        <v>0.35</v>
      </c>
      <c r="P45" s="13" t="s">
        <v>230</v>
      </c>
      <c r="Q45" s="13" t="s">
        <v>278</v>
      </c>
      <c r="R45" s="13">
        <v>1.1000000000000001</v>
      </c>
      <c r="S45" s="13">
        <v>1.05</v>
      </c>
      <c r="T45" s="13">
        <v>1</v>
      </c>
      <c r="U45" s="14">
        <v>0.03</v>
      </c>
      <c r="V45" s="14">
        <v>0.02</v>
      </c>
      <c r="W45" s="14">
        <v>0.05</v>
      </c>
      <c r="X45" s="14">
        <v>0.03</v>
      </c>
      <c r="Y45" s="14">
        <v>0.11</v>
      </c>
      <c r="Z45" s="14" t="s">
        <v>113</v>
      </c>
    </row>
    <row r="46" spans="1:26" x14ac:dyDescent="0.3">
      <c r="A46" s="13" t="s">
        <v>79</v>
      </c>
      <c r="B46" s="13" t="s">
        <v>77</v>
      </c>
      <c r="C46" s="8" t="s">
        <v>65</v>
      </c>
      <c r="D46" s="13">
        <v>1.8</v>
      </c>
      <c r="E46" s="13">
        <v>3.4</v>
      </c>
      <c r="F46" s="13">
        <v>0.2</v>
      </c>
      <c r="G46" s="13">
        <v>2.2000000000000002</v>
      </c>
      <c r="H46" s="13">
        <v>0.9</v>
      </c>
      <c r="I46" s="14">
        <v>0.7</v>
      </c>
      <c r="J46" s="14">
        <v>0.8</v>
      </c>
      <c r="K46" s="14">
        <v>0.9</v>
      </c>
      <c r="L46" s="14">
        <v>1.3</v>
      </c>
      <c r="M46" s="13">
        <v>2.2000000000000002</v>
      </c>
      <c r="N46" s="13">
        <v>1.1000000000000001</v>
      </c>
      <c r="O46" s="13">
        <v>0.5</v>
      </c>
      <c r="P46" s="13" t="s">
        <v>231</v>
      </c>
      <c r="Q46" s="13" t="s">
        <v>235</v>
      </c>
      <c r="R46" s="13">
        <v>1.3</v>
      </c>
      <c r="S46" s="13">
        <v>1.25</v>
      </c>
      <c r="T46" s="13">
        <v>1.2</v>
      </c>
      <c r="U46" s="14">
        <v>0.04</v>
      </c>
      <c r="V46" s="14">
        <v>0.03</v>
      </c>
      <c r="W46" s="14">
        <v>0.05</v>
      </c>
      <c r="X46" s="14">
        <v>0.04</v>
      </c>
      <c r="Y46" s="14">
        <v>0.13</v>
      </c>
      <c r="Z46" s="14" t="s">
        <v>113</v>
      </c>
    </row>
    <row r="47" spans="1:26" x14ac:dyDescent="0.3">
      <c r="A47" s="13" t="s">
        <v>80</v>
      </c>
      <c r="B47" s="13" t="s">
        <v>77</v>
      </c>
      <c r="C47" s="8" t="s">
        <v>65</v>
      </c>
      <c r="D47" s="13">
        <v>2</v>
      </c>
      <c r="E47" s="13">
        <v>4.5</v>
      </c>
      <c r="F47" s="13">
        <v>0.26</v>
      </c>
      <c r="G47" s="13">
        <v>2.9</v>
      </c>
      <c r="H47" s="13">
        <v>0.7</v>
      </c>
      <c r="I47" s="14">
        <v>0.9</v>
      </c>
      <c r="J47" s="14">
        <v>0.9</v>
      </c>
      <c r="K47" s="14">
        <v>0.9</v>
      </c>
      <c r="L47" s="14">
        <v>2</v>
      </c>
      <c r="M47" s="13">
        <v>3.3</v>
      </c>
      <c r="N47" s="13">
        <v>1.3</v>
      </c>
      <c r="O47" s="13">
        <v>0.25</v>
      </c>
      <c r="P47" s="13" t="s">
        <v>232</v>
      </c>
      <c r="Q47" s="13" t="s">
        <v>279</v>
      </c>
      <c r="R47" s="13">
        <v>1.95</v>
      </c>
      <c r="S47" s="13">
        <v>1.85</v>
      </c>
      <c r="T47" s="13">
        <v>1.8</v>
      </c>
      <c r="U47" s="14">
        <v>0.04</v>
      </c>
      <c r="V47" s="14">
        <v>0.03</v>
      </c>
      <c r="W47" s="14">
        <v>0.1</v>
      </c>
      <c r="X47" s="14">
        <v>0.05</v>
      </c>
      <c r="Y47" s="14">
        <v>0.19</v>
      </c>
      <c r="Z47" s="14" t="s">
        <v>113</v>
      </c>
    </row>
    <row r="48" spans="1:26" x14ac:dyDescent="0.3">
      <c r="A48" s="13" t="s">
        <v>81</v>
      </c>
      <c r="B48" s="13" t="s">
        <v>77</v>
      </c>
      <c r="C48" s="8" t="s">
        <v>65</v>
      </c>
      <c r="D48" s="13">
        <v>1</v>
      </c>
      <c r="E48" s="13">
        <v>1</v>
      </c>
      <c r="F48" s="13">
        <v>0.08</v>
      </c>
      <c r="G48" s="13">
        <v>0.8</v>
      </c>
      <c r="H48" s="13">
        <v>0.3</v>
      </c>
      <c r="I48" s="14">
        <v>0.3</v>
      </c>
      <c r="J48" s="14">
        <v>0.3</v>
      </c>
      <c r="K48" s="14">
        <v>0.4</v>
      </c>
      <c r="L48" s="14">
        <v>0.7</v>
      </c>
      <c r="M48" s="13">
        <v>0.6</v>
      </c>
      <c r="N48" s="13">
        <v>0.3</v>
      </c>
      <c r="O48" s="13">
        <v>0.18</v>
      </c>
      <c r="P48" s="13" t="s">
        <v>233</v>
      </c>
      <c r="Q48" s="13" t="s">
        <v>280</v>
      </c>
      <c r="R48" s="13">
        <v>0.28000000000000003</v>
      </c>
      <c r="S48" s="13">
        <v>0.27</v>
      </c>
      <c r="T48" s="13">
        <v>0.26</v>
      </c>
      <c r="U48" s="14">
        <v>0.02</v>
      </c>
      <c r="V48" s="14">
        <v>0.01</v>
      </c>
      <c r="W48" s="14">
        <v>0.01</v>
      </c>
      <c r="X48" s="14">
        <v>0.01</v>
      </c>
      <c r="Y48" s="14">
        <v>0.03</v>
      </c>
      <c r="Z48" s="14" t="s">
        <v>113</v>
      </c>
    </row>
    <row r="49" spans="1:26" x14ac:dyDescent="0.3">
      <c r="A49" s="13" t="s">
        <v>82</v>
      </c>
      <c r="B49" s="13" t="s">
        <v>77</v>
      </c>
      <c r="C49" s="8" t="s">
        <v>65</v>
      </c>
      <c r="D49" s="13">
        <v>1.5</v>
      </c>
      <c r="E49" s="13">
        <v>2.9</v>
      </c>
      <c r="F49" s="13">
        <v>0.14000000000000001</v>
      </c>
      <c r="G49" s="13">
        <v>1.6</v>
      </c>
      <c r="H49" s="13">
        <v>0.6</v>
      </c>
      <c r="I49" s="14">
        <v>0.6</v>
      </c>
      <c r="J49" s="14">
        <v>0.7</v>
      </c>
      <c r="K49" s="14">
        <v>0.6</v>
      </c>
      <c r="L49" s="14">
        <v>1</v>
      </c>
      <c r="M49" s="13">
        <v>2</v>
      </c>
      <c r="N49" s="13">
        <v>0.8</v>
      </c>
      <c r="O49" s="13">
        <v>0.3</v>
      </c>
      <c r="P49" s="13" t="s">
        <v>234</v>
      </c>
      <c r="Q49" s="13" t="s">
        <v>281</v>
      </c>
      <c r="R49" s="13">
        <v>0.96</v>
      </c>
      <c r="S49" s="13">
        <v>0.92</v>
      </c>
      <c r="T49" s="13">
        <v>0.9</v>
      </c>
      <c r="U49" s="14">
        <v>0.03</v>
      </c>
      <c r="V49" s="14">
        <v>0.02</v>
      </c>
      <c r="W49" s="14">
        <v>0.05</v>
      </c>
      <c r="X49" s="14">
        <v>0.03</v>
      </c>
      <c r="Y49" s="14">
        <v>0.09</v>
      </c>
      <c r="Z49" s="14" t="s">
        <v>113</v>
      </c>
    </row>
    <row r="50" spans="1:26" x14ac:dyDescent="0.3">
      <c r="A50" s="13" t="s">
        <v>83</v>
      </c>
      <c r="B50" s="13" t="s">
        <v>77</v>
      </c>
      <c r="C50" s="8" t="s">
        <v>65</v>
      </c>
      <c r="D50" s="13">
        <v>2</v>
      </c>
      <c r="E50" s="13">
        <v>2.6</v>
      </c>
      <c r="F50" s="13">
        <v>0.15</v>
      </c>
      <c r="G50" s="13">
        <v>1.7</v>
      </c>
      <c r="H50" s="13">
        <v>1</v>
      </c>
      <c r="I50" s="14">
        <v>0.9</v>
      </c>
      <c r="J50" s="14">
        <v>0.9</v>
      </c>
      <c r="K50" s="14">
        <v>0.7</v>
      </c>
      <c r="L50" s="14">
        <v>0.9</v>
      </c>
      <c r="M50" s="13">
        <v>2</v>
      </c>
      <c r="N50" s="13">
        <v>1.1000000000000001</v>
      </c>
      <c r="O50" s="13">
        <v>0.45</v>
      </c>
      <c r="P50" s="13" t="s">
        <v>235</v>
      </c>
      <c r="Q50" s="13" t="s">
        <v>282</v>
      </c>
      <c r="R50" s="13">
        <v>1.32</v>
      </c>
      <c r="S50" s="13">
        <v>1.2</v>
      </c>
      <c r="T50" s="13">
        <v>1.1499999999999999</v>
      </c>
      <c r="U50" s="14">
        <v>0.04</v>
      </c>
      <c r="V50" s="14">
        <v>0.03</v>
      </c>
      <c r="W50" s="14">
        <v>0.05</v>
      </c>
      <c r="X50" s="14">
        <v>0.05</v>
      </c>
      <c r="Y50" s="14">
        <v>0.14000000000000001</v>
      </c>
      <c r="Z50" s="14" t="s">
        <v>113</v>
      </c>
    </row>
    <row r="51" spans="1:26" x14ac:dyDescent="0.3">
      <c r="A51" s="13" t="s">
        <v>84</v>
      </c>
      <c r="B51" s="13" t="s">
        <v>77</v>
      </c>
      <c r="C51" s="8" t="s">
        <v>65</v>
      </c>
      <c r="D51" s="13">
        <v>0.25</v>
      </c>
      <c r="E51" s="13">
        <v>0.9</v>
      </c>
      <c r="F51" s="13">
        <v>0.05</v>
      </c>
      <c r="G51" s="13">
        <v>0.5</v>
      </c>
      <c r="H51" s="13">
        <v>0.2</v>
      </c>
      <c r="I51" s="14">
        <v>0.2</v>
      </c>
      <c r="J51" s="14">
        <v>0.2</v>
      </c>
      <c r="K51" s="14">
        <v>0.2</v>
      </c>
      <c r="L51" s="14">
        <v>0.25</v>
      </c>
      <c r="M51" s="13">
        <v>0.6</v>
      </c>
      <c r="N51" s="13">
        <v>0.2</v>
      </c>
      <c r="O51" s="13">
        <v>0.09</v>
      </c>
      <c r="P51" s="13" t="s">
        <v>236</v>
      </c>
      <c r="Q51" s="13" t="s">
        <v>283</v>
      </c>
      <c r="R51" s="13">
        <v>0.24</v>
      </c>
      <c r="S51" s="13">
        <v>0.22</v>
      </c>
      <c r="T51" s="13">
        <v>0.21</v>
      </c>
      <c r="U51" s="14">
        <v>0.01</v>
      </c>
      <c r="V51" s="14">
        <v>0.01</v>
      </c>
      <c r="W51" s="14">
        <v>0.01</v>
      </c>
      <c r="X51" s="14">
        <v>0.01</v>
      </c>
      <c r="Y51" s="14">
        <v>0.02</v>
      </c>
      <c r="Z51" s="14" t="s">
        <v>113</v>
      </c>
    </row>
    <row r="52" spans="1:26" x14ac:dyDescent="0.3">
      <c r="A52" s="13" t="s">
        <v>85</v>
      </c>
      <c r="B52" s="13" t="s">
        <v>77</v>
      </c>
      <c r="C52" s="8" t="s">
        <v>65</v>
      </c>
      <c r="D52" s="13">
        <v>0.8</v>
      </c>
      <c r="E52" s="13">
        <v>1.4</v>
      </c>
      <c r="F52" s="13">
        <v>0.09</v>
      </c>
      <c r="G52" s="13">
        <v>1</v>
      </c>
      <c r="H52" s="13">
        <v>0.4</v>
      </c>
      <c r="I52" s="14">
        <v>0.5</v>
      </c>
      <c r="J52" s="14">
        <v>0.5</v>
      </c>
      <c r="K52" s="14">
        <v>0.3</v>
      </c>
      <c r="L52" s="14">
        <v>0.8</v>
      </c>
      <c r="M52" s="13">
        <v>1.5</v>
      </c>
      <c r="N52" s="13">
        <v>0.6</v>
      </c>
      <c r="O52" s="13">
        <v>0.2</v>
      </c>
      <c r="P52" s="13" t="s">
        <v>237</v>
      </c>
      <c r="Q52" s="13" t="s">
        <v>284</v>
      </c>
      <c r="R52" s="13">
        <v>0.74</v>
      </c>
      <c r="S52" s="13">
        <v>0.68</v>
      </c>
      <c r="T52" s="13">
        <v>0.65</v>
      </c>
      <c r="U52" s="14">
        <v>0.02</v>
      </c>
      <c r="V52" s="14">
        <v>0.01</v>
      </c>
      <c r="W52" s="14">
        <v>0.02</v>
      </c>
      <c r="X52" s="14">
        <v>0.02</v>
      </c>
      <c r="Y52" s="14">
        <v>0.06</v>
      </c>
      <c r="Z52" s="14" t="s">
        <v>113</v>
      </c>
    </row>
    <row r="53" spans="1:26" ht="28.8" x14ac:dyDescent="0.3">
      <c r="A53" s="13" t="s">
        <v>86</v>
      </c>
      <c r="B53" s="13" t="s">
        <v>87</v>
      </c>
      <c r="C53" s="8" t="s">
        <v>65</v>
      </c>
      <c r="D53" s="13">
        <v>2</v>
      </c>
      <c r="E53" s="13">
        <v>2.8</v>
      </c>
      <c r="F53" s="13">
        <v>0.12</v>
      </c>
      <c r="G53" s="13">
        <v>1.1000000000000001</v>
      </c>
      <c r="H53" s="13">
        <v>1.2</v>
      </c>
      <c r="I53" s="14">
        <v>2.1</v>
      </c>
      <c r="J53" s="14">
        <v>2</v>
      </c>
      <c r="K53" s="14">
        <v>0.8</v>
      </c>
      <c r="L53" s="14">
        <v>1.5</v>
      </c>
      <c r="M53" s="13">
        <v>3.1</v>
      </c>
      <c r="N53" s="13">
        <v>1.4</v>
      </c>
      <c r="O53" s="13">
        <v>0.55000000000000004</v>
      </c>
      <c r="P53" s="13" t="s">
        <v>238</v>
      </c>
      <c r="Q53" s="13" t="s">
        <v>285</v>
      </c>
      <c r="R53" s="13">
        <v>2.1</v>
      </c>
      <c r="S53" s="13">
        <v>1.9</v>
      </c>
      <c r="T53" s="13">
        <v>1.85</v>
      </c>
      <c r="U53" s="14">
        <v>0.05</v>
      </c>
      <c r="V53" s="14">
        <v>0.03</v>
      </c>
      <c r="W53" s="14">
        <v>0.1</v>
      </c>
      <c r="X53" s="14">
        <v>0.06</v>
      </c>
      <c r="Y53" s="14">
        <v>0.15</v>
      </c>
      <c r="Z53" s="14" t="s">
        <v>113</v>
      </c>
    </row>
    <row r="54" spans="1:26" ht="28.8" x14ac:dyDescent="0.3">
      <c r="A54" s="13" t="s">
        <v>88</v>
      </c>
      <c r="B54" s="13" t="s">
        <v>87</v>
      </c>
      <c r="C54" s="8" t="s">
        <v>65</v>
      </c>
      <c r="D54" s="13">
        <v>5</v>
      </c>
      <c r="E54" s="13">
        <v>8.5</v>
      </c>
      <c r="F54" s="13">
        <v>0.55000000000000004</v>
      </c>
      <c r="G54" s="13">
        <v>6.5</v>
      </c>
      <c r="H54" s="13">
        <v>3</v>
      </c>
      <c r="I54" s="14">
        <v>3</v>
      </c>
      <c r="J54" s="14">
        <v>3</v>
      </c>
      <c r="K54" s="14">
        <v>1.5</v>
      </c>
      <c r="L54" s="14">
        <v>3.6</v>
      </c>
      <c r="M54" s="13">
        <v>6</v>
      </c>
      <c r="N54" s="13">
        <v>3</v>
      </c>
      <c r="O54" s="13">
        <v>1.2</v>
      </c>
      <c r="P54" s="13" t="s">
        <v>239</v>
      </c>
      <c r="Q54" s="13" t="s">
        <v>286</v>
      </c>
      <c r="R54" s="13">
        <v>4.2</v>
      </c>
      <c r="S54" s="13">
        <v>4</v>
      </c>
      <c r="T54" s="13">
        <v>3.9</v>
      </c>
      <c r="U54" s="14">
        <v>0.15</v>
      </c>
      <c r="V54" s="14">
        <v>0.08</v>
      </c>
      <c r="W54" s="14">
        <v>0.2</v>
      </c>
      <c r="X54" s="14">
        <v>0.2</v>
      </c>
      <c r="Y54" s="14">
        <v>0.35</v>
      </c>
      <c r="Z54" s="14" t="s">
        <v>113</v>
      </c>
    </row>
    <row r="55" spans="1:26" ht="28.8" x14ac:dyDescent="0.3">
      <c r="A55" s="13" t="s">
        <v>89</v>
      </c>
      <c r="B55" s="13" t="s">
        <v>87</v>
      </c>
      <c r="C55" s="8" t="s">
        <v>65</v>
      </c>
      <c r="D55" s="13">
        <v>1.5</v>
      </c>
      <c r="E55" s="13">
        <v>1.7</v>
      </c>
      <c r="F55" s="13">
        <v>0.08</v>
      </c>
      <c r="G55" s="13">
        <v>0.6</v>
      </c>
      <c r="H55" s="13">
        <v>0.8</v>
      </c>
      <c r="I55" s="14">
        <v>1.2</v>
      </c>
      <c r="J55" s="14">
        <v>1.2</v>
      </c>
      <c r="K55" s="14">
        <v>0.5</v>
      </c>
      <c r="L55" s="14">
        <v>1.1000000000000001</v>
      </c>
      <c r="M55" s="13">
        <v>1.8</v>
      </c>
      <c r="N55" s="13">
        <v>0.9</v>
      </c>
      <c r="O55" s="13">
        <v>0.3</v>
      </c>
      <c r="P55" s="13" t="s">
        <v>234</v>
      </c>
      <c r="Q55" s="13" t="s">
        <v>281</v>
      </c>
      <c r="R55" s="13">
        <v>1</v>
      </c>
      <c r="S55" s="13">
        <v>0.95</v>
      </c>
      <c r="T55" s="13">
        <v>0.9</v>
      </c>
      <c r="U55" s="14">
        <v>0.05</v>
      </c>
      <c r="V55" s="14">
        <v>0.03</v>
      </c>
      <c r="W55" s="14">
        <v>0.05</v>
      </c>
      <c r="X55" s="14">
        <v>0.12</v>
      </c>
      <c r="Y55" s="14">
        <v>0.1</v>
      </c>
      <c r="Z55" s="14" t="s">
        <v>113</v>
      </c>
    </row>
    <row r="56" spans="1:26" ht="28.8" x14ac:dyDescent="0.3">
      <c r="A56" s="13" t="s">
        <v>90</v>
      </c>
      <c r="B56" s="13" t="s">
        <v>87</v>
      </c>
      <c r="C56" s="8" t="s">
        <v>65</v>
      </c>
      <c r="D56" s="13">
        <v>0.5</v>
      </c>
      <c r="E56" s="13">
        <v>0.6</v>
      </c>
      <c r="F56" s="13">
        <v>0.02</v>
      </c>
      <c r="G56" s="13">
        <v>0.3</v>
      </c>
      <c r="H56" s="13">
        <v>0.3</v>
      </c>
      <c r="I56" s="14">
        <v>0.2</v>
      </c>
      <c r="J56" s="14">
        <v>0.2</v>
      </c>
      <c r="K56" s="14">
        <v>0.3</v>
      </c>
      <c r="L56" s="14">
        <v>0.3</v>
      </c>
      <c r="M56" s="13">
        <v>0.7</v>
      </c>
      <c r="N56" s="13">
        <v>0.3</v>
      </c>
      <c r="O56" s="13">
        <v>0.1</v>
      </c>
      <c r="P56" s="13" t="s">
        <v>240</v>
      </c>
      <c r="Q56" s="13" t="s">
        <v>247</v>
      </c>
      <c r="R56" s="13">
        <v>0.34</v>
      </c>
      <c r="S56" s="13">
        <v>0.32</v>
      </c>
      <c r="T56" s="13">
        <v>0.3</v>
      </c>
      <c r="U56" s="14">
        <v>0.02</v>
      </c>
      <c r="V56" s="14">
        <v>0.01</v>
      </c>
      <c r="W56" s="14">
        <v>0.01</v>
      </c>
      <c r="X56" s="14">
        <v>0.03</v>
      </c>
      <c r="Y56" s="14">
        <v>0.03</v>
      </c>
      <c r="Z56" s="14" t="s">
        <v>113</v>
      </c>
    </row>
    <row r="57" spans="1:26" ht="28.8" x14ac:dyDescent="0.3">
      <c r="A57" s="13" t="s">
        <v>91</v>
      </c>
      <c r="B57" s="13" t="s">
        <v>87</v>
      </c>
      <c r="C57" s="8" t="s">
        <v>65</v>
      </c>
      <c r="D57" s="13">
        <v>1.5</v>
      </c>
      <c r="E57" s="13">
        <v>1.3</v>
      </c>
      <c r="F57" s="13">
        <v>0.15</v>
      </c>
      <c r="G57" s="13">
        <v>1.6</v>
      </c>
      <c r="H57" s="13">
        <v>0.6</v>
      </c>
      <c r="I57" s="14">
        <v>0.8</v>
      </c>
      <c r="J57" s="14">
        <v>0.8</v>
      </c>
      <c r="K57" s="14">
        <v>0.5</v>
      </c>
      <c r="L57" s="14">
        <v>0.8</v>
      </c>
      <c r="M57" s="13">
        <v>1.5</v>
      </c>
      <c r="N57" s="13">
        <v>0.7</v>
      </c>
      <c r="O57" s="13">
        <v>0.35</v>
      </c>
      <c r="P57" s="13" t="s">
        <v>241</v>
      </c>
      <c r="Q57" s="13" t="s">
        <v>287</v>
      </c>
      <c r="R57" s="13">
        <v>0.78</v>
      </c>
      <c r="S57" s="13">
        <v>0.72</v>
      </c>
      <c r="T57" s="13">
        <v>0.7</v>
      </c>
      <c r="U57" s="14">
        <v>0.03</v>
      </c>
      <c r="V57" s="14">
        <v>0.02</v>
      </c>
      <c r="W57" s="14">
        <v>0.05</v>
      </c>
      <c r="X57" s="14">
        <v>0.03</v>
      </c>
      <c r="Y57" s="14">
        <v>0.08</v>
      </c>
      <c r="Z57" s="14" t="s">
        <v>113</v>
      </c>
    </row>
    <row r="58" spans="1:26" ht="21" x14ac:dyDescent="0.3">
      <c r="A58" s="19" t="s">
        <v>92</v>
      </c>
      <c r="B58" s="13" t="s">
        <v>64</v>
      </c>
      <c r="C58" s="8" t="s">
        <v>65</v>
      </c>
      <c r="D58" s="13">
        <v>70</v>
      </c>
      <c r="E58" s="13">
        <v>2.85</v>
      </c>
      <c r="F58" s="13">
        <v>3.9</v>
      </c>
      <c r="G58" s="13">
        <v>1</v>
      </c>
      <c r="H58" s="13">
        <v>7</v>
      </c>
      <c r="I58" s="14">
        <v>30.7</v>
      </c>
      <c r="J58" s="14">
        <v>42.2</v>
      </c>
      <c r="K58" s="14">
        <v>9.9</v>
      </c>
      <c r="L58" s="14">
        <v>2.5</v>
      </c>
      <c r="M58" s="13">
        <v>0.5</v>
      </c>
      <c r="N58" s="13">
        <v>6</v>
      </c>
      <c r="O58" s="13">
        <v>0.7</v>
      </c>
      <c r="P58" s="13" t="s">
        <v>242</v>
      </c>
      <c r="Q58" s="13" t="s">
        <v>288</v>
      </c>
      <c r="R58" s="13">
        <v>1.1000000000000001</v>
      </c>
      <c r="S58" s="13">
        <v>1.5</v>
      </c>
      <c r="T58" s="13">
        <v>1.6</v>
      </c>
      <c r="U58" s="14">
        <v>0.2</v>
      </c>
      <c r="V58" s="14">
        <v>0.2</v>
      </c>
      <c r="W58" s="14">
        <v>1.2</v>
      </c>
      <c r="X58" s="14">
        <v>0.2</v>
      </c>
      <c r="Y58" s="14">
        <v>0.9</v>
      </c>
      <c r="Z58" s="14">
        <v>99.5</v>
      </c>
    </row>
    <row r="59" spans="1:26" x14ac:dyDescent="0.3">
      <c r="A59" s="13" t="s">
        <v>93</v>
      </c>
      <c r="B59" s="13" t="s">
        <v>64</v>
      </c>
      <c r="C59" s="8"/>
      <c r="D59" s="13">
        <v>20</v>
      </c>
      <c r="E59" s="13">
        <v>1.56</v>
      </c>
      <c r="F59" s="13">
        <v>2.4</v>
      </c>
      <c r="G59" s="13">
        <v>0.6</v>
      </c>
      <c r="H59" s="13">
        <v>1.2</v>
      </c>
      <c r="I59" s="14">
        <v>3.3</v>
      </c>
      <c r="J59" s="14">
        <v>3.7</v>
      </c>
      <c r="K59" s="14">
        <v>3.1</v>
      </c>
      <c r="L59" s="14">
        <v>0.6</v>
      </c>
      <c r="M59" s="13">
        <v>0.1</v>
      </c>
      <c r="N59" s="13">
        <v>1</v>
      </c>
      <c r="O59" s="13">
        <v>0.15</v>
      </c>
      <c r="P59" s="13" t="s">
        <v>240</v>
      </c>
      <c r="Q59" s="13" t="s">
        <v>289</v>
      </c>
      <c r="R59" s="13">
        <v>0.32</v>
      </c>
      <c r="S59" s="13">
        <v>0.45</v>
      </c>
      <c r="T59" s="13">
        <v>0.48</v>
      </c>
      <c r="U59" s="14">
        <v>0.03</v>
      </c>
      <c r="V59" s="14">
        <v>0.03</v>
      </c>
      <c r="W59" s="14">
        <v>0.3</v>
      </c>
      <c r="X59" s="14">
        <v>0.03</v>
      </c>
      <c r="Y59" s="14">
        <v>0.25</v>
      </c>
      <c r="Z59" s="14">
        <v>65</v>
      </c>
    </row>
    <row r="60" spans="1:26" x14ac:dyDescent="0.3">
      <c r="A60" s="13" t="s">
        <v>94</v>
      </c>
      <c r="B60" s="13" t="s">
        <v>64</v>
      </c>
      <c r="C60" s="8"/>
      <c r="D60" s="13">
        <v>10</v>
      </c>
      <c r="E60" s="13">
        <v>0.62</v>
      </c>
      <c r="F60" s="13">
        <v>1.1000000000000001</v>
      </c>
      <c r="G60" s="13">
        <v>0.25</v>
      </c>
      <c r="H60" s="13">
        <v>2.2000000000000002</v>
      </c>
      <c r="I60" s="14">
        <v>2.2999999999999998</v>
      </c>
      <c r="J60" s="14">
        <v>7.5</v>
      </c>
      <c r="K60" s="14">
        <v>3.7</v>
      </c>
      <c r="L60" s="14">
        <v>0.9</v>
      </c>
      <c r="M60" s="13">
        <v>0.1</v>
      </c>
      <c r="N60" s="13">
        <v>2</v>
      </c>
      <c r="O60" s="13">
        <v>0.2</v>
      </c>
      <c r="P60" s="13" t="s">
        <v>243</v>
      </c>
      <c r="Q60" s="13" t="s">
        <v>198</v>
      </c>
      <c r="R60" s="13">
        <v>0.36</v>
      </c>
      <c r="S60" s="13">
        <v>0.55000000000000004</v>
      </c>
      <c r="T60" s="13">
        <v>0.57999999999999996</v>
      </c>
      <c r="U60" s="14">
        <v>0.02</v>
      </c>
      <c r="V60" s="14">
        <v>0.03</v>
      </c>
      <c r="W60" s="14">
        <v>0.2</v>
      </c>
      <c r="X60" s="14">
        <v>0.04</v>
      </c>
      <c r="Y60" s="14">
        <v>0.45</v>
      </c>
      <c r="Z60" s="14">
        <v>29</v>
      </c>
    </row>
    <row r="61" spans="1:26" ht="28.8" x14ac:dyDescent="0.3">
      <c r="A61" s="13" t="s">
        <v>95</v>
      </c>
      <c r="B61" s="14" t="s">
        <v>96</v>
      </c>
      <c r="C61" s="8"/>
      <c r="D61" s="13">
        <v>1.6</v>
      </c>
      <c r="E61" s="13">
        <v>0.49</v>
      </c>
      <c r="F61" s="13">
        <v>0.05</v>
      </c>
      <c r="G61" s="13">
        <v>0.02</v>
      </c>
      <c r="H61" s="13">
        <v>0.1</v>
      </c>
      <c r="I61" s="14">
        <v>17.8</v>
      </c>
      <c r="J61" s="14">
        <v>22.8</v>
      </c>
      <c r="K61" s="14">
        <v>0.1</v>
      </c>
      <c r="L61" s="14">
        <v>0.02</v>
      </c>
      <c r="M61" s="13">
        <v>0.3</v>
      </c>
      <c r="N61" s="13">
        <v>0.2</v>
      </c>
      <c r="O61" s="13">
        <v>0.02</v>
      </c>
      <c r="P61" s="13" t="s">
        <v>244</v>
      </c>
      <c r="Q61" s="13" t="s">
        <v>290</v>
      </c>
      <c r="R61" s="13">
        <v>0.08</v>
      </c>
      <c r="S61" s="13">
        <v>0.1</v>
      </c>
      <c r="T61" s="13">
        <v>0.12</v>
      </c>
      <c r="U61" s="14">
        <v>7.0000000000000007E-2</v>
      </c>
      <c r="V61" s="14">
        <v>0.01</v>
      </c>
      <c r="W61" s="14">
        <v>0.05</v>
      </c>
      <c r="X61" s="14">
        <v>0.02</v>
      </c>
      <c r="Y61" s="14">
        <v>0.05</v>
      </c>
      <c r="Z61" s="14">
        <v>0.3</v>
      </c>
    </row>
    <row r="62" spans="1:26" ht="28.8" x14ac:dyDescent="0.3">
      <c r="A62" s="13" t="s">
        <v>97</v>
      </c>
      <c r="B62" s="14" t="s">
        <v>98</v>
      </c>
      <c r="C62" s="8"/>
      <c r="D62" s="13">
        <v>0.25</v>
      </c>
      <c r="E62" s="13">
        <v>0</v>
      </c>
      <c r="F62" s="13">
        <v>0</v>
      </c>
      <c r="G62" s="13">
        <v>0</v>
      </c>
      <c r="H62" s="13">
        <v>0</v>
      </c>
      <c r="I62" s="14">
        <v>0</v>
      </c>
      <c r="J62" s="14">
        <v>0</v>
      </c>
      <c r="K62" s="14">
        <v>0.1</v>
      </c>
      <c r="L62" s="14">
        <v>7.0000000000000007E-2</v>
      </c>
      <c r="M62" s="13">
        <v>0</v>
      </c>
      <c r="N62" s="13">
        <v>0</v>
      </c>
      <c r="O62" s="13">
        <v>0</v>
      </c>
      <c r="P62" s="13" t="s">
        <v>197</v>
      </c>
      <c r="Q62" s="13" t="s">
        <v>197</v>
      </c>
      <c r="R62" s="13">
        <v>0</v>
      </c>
      <c r="S62" s="13">
        <v>0</v>
      </c>
      <c r="T62" s="13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</row>
    <row r="63" spans="1:26" ht="28.8" x14ac:dyDescent="0.3">
      <c r="A63" s="13" t="s">
        <v>99</v>
      </c>
      <c r="B63" s="14" t="s">
        <v>100</v>
      </c>
      <c r="C63" s="8"/>
      <c r="D63" s="13">
        <v>12</v>
      </c>
      <c r="E63" s="13">
        <v>7.0000000000000007E-2</v>
      </c>
      <c r="F63" s="13">
        <v>0.1</v>
      </c>
      <c r="G63" s="13">
        <v>7.0000000000000007E-2</v>
      </c>
      <c r="H63" s="13">
        <v>2.5</v>
      </c>
      <c r="I63" s="14">
        <v>5.8</v>
      </c>
      <c r="J63" s="14">
        <v>6.5</v>
      </c>
      <c r="K63" s="14">
        <v>1.3</v>
      </c>
      <c r="L63" s="14">
        <v>0.45</v>
      </c>
      <c r="M63" s="13">
        <v>0.1</v>
      </c>
      <c r="N63" s="13">
        <v>3</v>
      </c>
      <c r="O63" s="13">
        <v>0.2</v>
      </c>
      <c r="P63" s="13" t="s">
        <v>245</v>
      </c>
      <c r="Q63" s="13" t="s">
        <v>291</v>
      </c>
      <c r="R63" s="13">
        <v>0.4</v>
      </c>
      <c r="S63" s="13">
        <v>0.65</v>
      </c>
      <c r="T63" s="13">
        <v>0.7</v>
      </c>
      <c r="U63" s="14">
        <v>0.04</v>
      </c>
      <c r="V63" s="14">
        <v>0.02</v>
      </c>
      <c r="W63" s="14">
        <v>0.1</v>
      </c>
      <c r="X63" s="14">
        <v>0.05</v>
      </c>
      <c r="Y63" s="14">
        <v>0.12</v>
      </c>
      <c r="Z63" s="14">
        <v>3</v>
      </c>
    </row>
    <row r="64" spans="1:26" ht="28.8" x14ac:dyDescent="0.3">
      <c r="A64" s="13" t="s">
        <v>101</v>
      </c>
      <c r="B64" s="14" t="s">
        <v>102</v>
      </c>
      <c r="C64" s="8"/>
      <c r="D64" s="13">
        <v>0.3</v>
      </c>
      <c r="E64" s="13">
        <v>0</v>
      </c>
      <c r="F64" s="13">
        <v>0</v>
      </c>
      <c r="G64" s="13">
        <v>0</v>
      </c>
      <c r="H64" s="13">
        <v>0</v>
      </c>
      <c r="I64" s="14">
        <v>0</v>
      </c>
      <c r="J64" s="14">
        <v>0</v>
      </c>
      <c r="K64" s="14">
        <v>0</v>
      </c>
      <c r="L64" s="14">
        <v>0.08</v>
      </c>
      <c r="M64" s="13">
        <v>0</v>
      </c>
      <c r="N64" s="13">
        <v>0</v>
      </c>
      <c r="O64" s="13">
        <v>0</v>
      </c>
      <c r="P64" s="13" t="s">
        <v>197</v>
      </c>
      <c r="Q64" s="13" t="s">
        <v>197</v>
      </c>
      <c r="R64" s="13">
        <v>0</v>
      </c>
      <c r="S64" s="13">
        <v>0</v>
      </c>
      <c r="T64" s="13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</row>
    <row r="65" spans="1:26" x14ac:dyDescent="0.3">
      <c r="A65" s="13" t="s">
        <v>103</v>
      </c>
      <c r="B65" s="14" t="s">
        <v>104</v>
      </c>
      <c r="C65" s="8"/>
      <c r="D65" s="20">
        <v>0.41736111111111113</v>
      </c>
      <c r="E65" s="20">
        <v>2.5</v>
      </c>
      <c r="F65" s="20">
        <v>2</v>
      </c>
      <c r="G65" s="20" t="s">
        <v>188</v>
      </c>
      <c r="H65" s="20">
        <v>0.62569444444444444</v>
      </c>
      <c r="I65" s="14">
        <v>4.3749999999999997E-2</v>
      </c>
      <c r="J65" s="14">
        <v>7.349537037037037E-4</v>
      </c>
      <c r="K65" s="14">
        <v>0.54236111111111107</v>
      </c>
      <c r="L65" s="14">
        <v>5.5</v>
      </c>
      <c r="M65" s="20">
        <v>0.20902777777777778</v>
      </c>
      <c r="N65" s="20">
        <v>0.62569444444444444</v>
      </c>
      <c r="O65" s="20">
        <v>0.41736111111111113</v>
      </c>
      <c r="P65" s="20" t="s">
        <v>246</v>
      </c>
      <c r="Q65" s="20" t="s">
        <v>292</v>
      </c>
      <c r="R65" s="20">
        <v>5</v>
      </c>
      <c r="S65" s="20">
        <v>6.5</v>
      </c>
      <c r="T65" s="20">
        <v>5.8</v>
      </c>
      <c r="U65" s="14" t="s">
        <v>181</v>
      </c>
      <c r="V65" s="27">
        <v>8.4027777777777785E-2</v>
      </c>
      <c r="W65" s="14">
        <v>8.4027777777777785E-2</v>
      </c>
      <c r="X65" s="14" t="s">
        <v>180</v>
      </c>
      <c r="Y65" s="14">
        <v>2.5</v>
      </c>
      <c r="Z65" s="14">
        <v>0.41736111111111113</v>
      </c>
    </row>
    <row r="66" spans="1:26" x14ac:dyDescent="0.3">
      <c r="A66" s="13" t="s">
        <v>105</v>
      </c>
      <c r="B66" s="14" t="s">
        <v>104</v>
      </c>
      <c r="C66" s="8"/>
      <c r="D66" s="20">
        <v>4.2361111111111113E-2</v>
      </c>
      <c r="E66" s="20">
        <v>0.45</v>
      </c>
      <c r="F66" s="20">
        <v>1.1000000000000001</v>
      </c>
      <c r="G66" s="20" t="s">
        <v>189</v>
      </c>
      <c r="H66" s="20">
        <v>0.4</v>
      </c>
      <c r="I66" s="14">
        <v>0.1</v>
      </c>
      <c r="J66" s="14">
        <v>0.1</v>
      </c>
      <c r="K66" s="14">
        <v>0.46</v>
      </c>
      <c r="L66" s="14">
        <v>0.3</v>
      </c>
      <c r="M66" s="20">
        <v>0.2</v>
      </c>
      <c r="N66" s="20">
        <v>0.3</v>
      </c>
      <c r="O66" s="20" t="s">
        <v>191</v>
      </c>
      <c r="P66" s="20" t="s">
        <v>247</v>
      </c>
      <c r="Q66" s="20" t="s">
        <v>289</v>
      </c>
      <c r="R66" s="20">
        <v>0.41</v>
      </c>
      <c r="S66" s="20">
        <v>0.43</v>
      </c>
      <c r="T66" s="20">
        <v>0.42</v>
      </c>
      <c r="U66" s="14">
        <v>0.18</v>
      </c>
      <c r="V66" s="14">
        <v>0.15</v>
      </c>
      <c r="W66" s="14">
        <v>0.5</v>
      </c>
      <c r="X66" s="14">
        <v>0.15</v>
      </c>
      <c r="Y66" s="14">
        <v>0.35</v>
      </c>
      <c r="Z66" s="14">
        <v>2.2999999999999998</v>
      </c>
    </row>
    <row r="67" spans="1:26" ht="21" x14ac:dyDescent="0.3">
      <c r="A67" s="21" t="s">
        <v>106</v>
      </c>
      <c r="B67" s="13" t="s">
        <v>64</v>
      </c>
      <c r="C67" s="8" t="s">
        <v>65</v>
      </c>
      <c r="D67" s="13">
        <v>25</v>
      </c>
      <c r="E67" s="13">
        <v>0</v>
      </c>
      <c r="F67" s="13">
        <v>0</v>
      </c>
      <c r="G67" s="13">
        <v>0</v>
      </c>
      <c r="H67" s="13">
        <v>10</v>
      </c>
      <c r="I67" s="14">
        <v>34.4</v>
      </c>
      <c r="J67" s="14">
        <v>27.3</v>
      </c>
      <c r="K67" s="14">
        <v>0</v>
      </c>
      <c r="L67" s="14">
        <v>0</v>
      </c>
      <c r="M67" s="13">
        <v>13</v>
      </c>
      <c r="N67" s="13">
        <v>18</v>
      </c>
      <c r="O67" s="13">
        <v>1.3</v>
      </c>
      <c r="P67" s="13" t="s">
        <v>248</v>
      </c>
      <c r="Q67" s="13" t="s">
        <v>293</v>
      </c>
      <c r="R67" s="13">
        <v>15.6</v>
      </c>
      <c r="S67" s="13">
        <v>25</v>
      </c>
      <c r="T67" s="13">
        <v>18.899999999999999</v>
      </c>
      <c r="U67" s="14">
        <v>2.8</v>
      </c>
      <c r="V67" s="14">
        <v>1.2</v>
      </c>
      <c r="W67" s="14">
        <v>4</v>
      </c>
      <c r="X67" s="14">
        <v>2.8</v>
      </c>
      <c r="Y67" s="14">
        <v>5.4</v>
      </c>
      <c r="Z67" s="14">
        <v>0</v>
      </c>
    </row>
    <row r="68" spans="1:26" x14ac:dyDescent="0.3">
      <c r="A68" s="13" t="s">
        <v>107</v>
      </c>
      <c r="B68" s="14" t="s">
        <v>3</v>
      </c>
      <c r="C68" s="8" t="s">
        <v>65</v>
      </c>
      <c r="D68" s="13">
        <v>5</v>
      </c>
      <c r="E68" s="13">
        <v>0</v>
      </c>
      <c r="F68" s="13">
        <v>0</v>
      </c>
      <c r="G68" s="13">
        <v>0</v>
      </c>
      <c r="H68" s="13">
        <v>4</v>
      </c>
      <c r="I68" s="14">
        <v>10</v>
      </c>
      <c r="J68" s="14">
        <v>7.5</v>
      </c>
      <c r="K68" s="14">
        <v>0</v>
      </c>
      <c r="L68" s="14">
        <v>0</v>
      </c>
      <c r="M68" s="13">
        <v>3</v>
      </c>
      <c r="N68" s="13">
        <v>4</v>
      </c>
      <c r="O68" s="13">
        <v>0.3</v>
      </c>
      <c r="P68" s="13" t="s">
        <v>249</v>
      </c>
      <c r="Q68" s="13" t="s">
        <v>294</v>
      </c>
      <c r="R68" s="13">
        <v>5</v>
      </c>
      <c r="S68" s="13">
        <v>6.5</v>
      </c>
      <c r="T68" s="13">
        <v>5.8</v>
      </c>
      <c r="U68" s="14">
        <v>0.6</v>
      </c>
      <c r="V68" s="14">
        <v>0.4</v>
      </c>
      <c r="W68" s="14">
        <v>1.2</v>
      </c>
      <c r="X68" s="14">
        <v>0.7</v>
      </c>
      <c r="Y68" s="14">
        <v>1.3</v>
      </c>
      <c r="Z68" s="14">
        <v>0</v>
      </c>
    </row>
    <row r="69" spans="1:26" x14ac:dyDescent="0.3">
      <c r="A69" s="13" t="s">
        <v>108</v>
      </c>
      <c r="B69" s="14" t="s">
        <v>109</v>
      </c>
      <c r="C69" s="8" t="s">
        <v>65</v>
      </c>
      <c r="D69" s="13">
        <v>5</v>
      </c>
      <c r="E69" s="13">
        <v>0</v>
      </c>
      <c r="F69" s="13">
        <v>0</v>
      </c>
      <c r="G69" s="13">
        <v>0</v>
      </c>
      <c r="H69" s="13">
        <v>6</v>
      </c>
      <c r="I69" s="14">
        <v>24.4</v>
      </c>
      <c r="J69" s="14">
        <v>19.8</v>
      </c>
      <c r="K69" s="14">
        <v>0</v>
      </c>
      <c r="L69" s="14">
        <v>0</v>
      </c>
      <c r="M69" s="13">
        <v>10</v>
      </c>
      <c r="N69" s="13">
        <v>14</v>
      </c>
      <c r="O69" s="13">
        <v>1</v>
      </c>
      <c r="P69" s="13" t="s">
        <v>250</v>
      </c>
      <c r="Q69" s="13" t="s">
        <v>295</v>
      </c>
      <c r="R69" s="13">
        <v>9</v>
      </c>
      <c r="S69" s="13">
        <v>16.5</v>
      </c>
      <c r="T69" s="13">
        <v>11.2</v>
      </c>
      <c r="U69" s="14">
        <v>2.2000000000000002</v>
      </c>
      <c r="V69" s="14">
        <v>0.8</v>
      </c>
      <c r="W69" s="14">
        <v>2.8</v>
      </c>
      <c r="X69" s="14">
        <v>2.1</v>
      </c>
      <c r="Y69" s="14">
        <v>3.3</v>
      </c>
      <c r="Z69" s="14">
        <v>0</v>
      </c>
    </row>
    <row r="70" spans="1:26" x14ac:dyDescent="0.3">
      <c r="A70" s="13" t="s">
        <v>110</v>
      </c>
      <c r="B70" s="14" t="s">
        <v>73</v>
      </c>
      <c r="C70" s="8" t="s">
        <v>65</v>
      </c>
      <c r="D70" s="13">
        <v>3</v>
      </c>
      <c r="E70" s="13">
        <v>0</v>
      </c>
      <c r="F70" s="13">
        <v>0</v>
      </c>
      <c r="G70" s="13">
        <v>0</v>
      </c>
      <c r="H70" s="13">
        <v>3</v>
      </c>
      <c r="I70" s="14">
        <v>0.5</v>
      </c>
      <c r="J70" s="14">
        <v>0.5</v>
      </c>
      <c r="K70" s="14">
        <v>0</v>
      </c>
      <c r="L70" s="14">
        <v>0</v>
      </c>
      <c r="M70" s="13">
        <v>1</v>
      </c>
      <c r="N70" s="13">
        <v>2</v>
      </c>
      <c r="O70" s="13">
        <v>0.5</v>
      </c>
      <c r="P70" s="13" t="s">
        <v>251</v>
      </c>
      <c r="Q70" s="13" t="s">
        <v>251</v>
      </c>
      <c r="R70" s="13">
        <v>1.6</v>
      </c>
      <c r="S70" s="13">
        <v>2</v>
      </c>
      <c r="T70" s="13">
        <v>1.9</v>
      </c>
      <c r="U70" s="14">
        <v>0.2</v>
      </c>
      <c r="V70" s="14">
        <v>0</v>
      </c>
      <c r="W70" s="14">
        <v>0.1</v>
      </c>
      <c r="X70" s="14">
        <v>0.1</v>
      </c>
      <c r="Y70" s="14">
        <v>0.8</v>
      </c>
      <c r="Z70" s="14">
        <v>0</v>
      </c>
    </row>
    <row r="71" spans="1:26" x14ac:dyDescent="0.3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x14ac:dyDescent="0.3">
      <c r="A72" s="14" t="s">
        <v>111</v>
      </c>
      <c r="B72" s="14" t="s">
        <v>112</v>
      </c>
      <c r="C72" s="14" t="s">
        <v>30</v>
      </c>
      <c r="D72" s="14" t="s">
        <v>113</v>
      </c>
      <c r="E72" s="14"/>
      <c r="F72" s="14">
        <v>5</v>
      </c>
      <c r="G72" s="14">
        <v>2</v>
      </c>
      <c r="H72" s="14">
        <v>20</v>
      </c>
      <c r="I72" s="15">
        <v>2</v>
      </c>
      <c r="J72" s="15">
        <v>2</v>
      </c>
      <c r="K72" s="15">
        <v>10</v>
      </c>
      <c r="L72" s="15"/>
      <c r="M72" s="14">
        <v>25</v>
      </c>
      <c r="N72" s="14">
        <v>15</v>
      </c>
      <c r="O72" s="14"/>
      <c r="P72" s="14"/>
      <c r="Q72" s="14"/>
      <c r="R72" s="14"/>
      <c r="S72" s="14"/>
      <c r="T72" s="14"/>
      <c r="U72" s="15" t="s">
        <v>183</v>
      </c>
      <c r="V72" s="15" t="s">
        <v>179</v>
      </c>
      <c r="W72" s="15">
        <v>2</v>
      </c>
      <c r="X72" s="15" t="s">
        <v>182</v>
      </c>
      <c r="Y72" s="15"/>
      <c r="Z72" s="15">
        <v>0</v>
      </c>
    </row>
    <row r="73" spans="1:26" x14ac:dyDescent="0.3">
      <c r="A73" s="14" t="s">
        <v>114</v>
      </c>
      <c r="B73" s="14" t="s">
        <v>115</v>
      </c>
      <c r="C73" s="14" t="s">
        <v>30</v>
      </c>
      <c r="D73" s="14" t="s">
        <v>113</v>
      </c>
      <c r="E73" s="14"/>
      <c r="F73" s="14">
        <v>0.3</v>
      </c>
      <c r="G73" s="14">
        <v>0.02</v>
      </c>
      <c r="H73" s="14">
        <v>0.3</v>
      </c>
      <c r="I73" s="15">
        <v>0.6</v>
      </c>
      <c r="J73" s="15">
        <v>0.6</v>
      </c>
      <c r="K73" s="15">
        <v>0.1</v>
      </c>
      <c r="L73" s="15"/>
      <c r="M73" s="14">
        <v>0.5</v>
      </c>
      <c r="N73" s="14">
        <v>0.4</v>
      </c>
      <c r="O73" s="14"/>
      <c r="P73" s="14"/>
      <c r="Q73" s="14"/>
      <c r="R73" s="14"/>
      <c r="S73" s="14"/>
      <c r="T73" s="14"/>
      <c r="U73" s="15" t="s">
        <v>113</v>
      </c>
      <c r="V73" s="15" t="s">
        <v>113</v>
      </c>
      <c r="W73" s="15" t="s">
        <v>113</v>
      </c>
      <c r="X73" s="15" t="s">
        <v>113</v>
      </c>
      <c r="Y73" s="15"/>
      <c r="Z73" s="15">
        <v>1</v>
      </c>
    </row>
    <row r="74" spans="1:26" x14ac:dyDescent="0.3">
      <c r="A74" s="14" t="s">
        <v>116</v>
      </c>
      <c r="B74" s="14" t="s">
        <v>117</v>
      </c>
      <c r="C74" s="14" t="s">
        <v>30</v>
      </c>
      <c r="D74" s="14" t="s">
        <v>113</v>
      </c>
      <c r="E74" s="14"/>
      <c r="F74" s="14">
        <v>0.01</v>
      </c>
      <c r="G74" s="14">
        <v>0</v>
      </c>
      <c r="H74" s="14">
        <v>0.1</v>
      </c>
      <c r="I74" s="15" t="s">
        <v>113</v>
      </c>
      <c r="J74" s="15" t="s">
        <v>113</v>
      </c>
      <c r="K74" s="15">
        <v>0</v>
      </c>
      <c r="L74" s="15"/>
      <c r="M74" s="14">
        <v>0.1</v>
      </c>
      <c r="N74" s="14">
        <v>0.05</v>
      </c>
      <c r="O74" s="14"/>
      <c r="P74" s="14"/>
      <c r="Q74" s="14"/>
      <c r="R74" s="14"/>
      <c r="S74" s="14"/>
      <c r="T74" s="14"/>
      <c r="U74" s="15" t="s">
        <v>113</v>
      </c>
      <c r="V74" s="15" t="s">
        <v>113</v>
      </c>
      <c r="W74" s="15" t="s">
        <v>113</v>
      </c>
      <c r="X74" s="15" t="s">
        <v>113</v>
      </c>
      <c r="Y74" s="15"/>
      <c r="Z74" s="15">
        <v>0</v>
      </c>
    </row>
    <row r="75" spans="1:26" x14ac:dyDescent="0.3">
      <c r="A75" s="14" t="s">
        <v>118</v>
      </c>
      <c r="B75" s="14" t="s">
        <v>119</v>
      </c>
      <c r="C75" s="14" t="s">
        <v>30</v>
      </c>
      <c r="D75" s="14" t="s">
        <v>113</v>
      </c>
      <c r="E75" s="14"/>
      <c r="F75" s="14">
        <v>0</v>
      </c>
      <c r="G75" s="14">
        <v>0</v>
      </c>
      <c r="H75" s="14">
        <v>0</v>
      </c>
      <c r="I75" s="15" t="s">
        <v>113</v>
      </c>
      <c r="J75" s="15" t="s">
        <v>113</v>
      </c>
      <c r="K75" s="15">
        <v>0</v>
      </c>
      <c r="L75" s="15"/>
      <c r="M75" s="14">
        <v>0</v>
      </c>
      <c r="N75" s="14">
        <v>0</v>
      </c>
      <c r="O75" s="14"/>
      <c r="P75" s="14"/>
      <c r="Q75" s="14"/>
      <c r="R75" s="14"/>
      <c r="S75" s="14"/>
      <c r="T75" s="14"/>
      <c r="U75" s="15" t="s">
        <v>113</v>
      </c>
      <c r="V75" s="15" t="s">
        <v>113</v>
      </c>
      <c r="W75" s="15" t="s">
        <v>113</v>
      </c>
      <c r="X75" s="15" t="s">
        <v>113</v>
      </c>
      <c r="Y75" s="15"/>
      <c r="Z75" s="15">
        <v>0</v>
      </c>
    </row>
    <row r="76" spans="1:26" x14ac:dyDescent="0.3">
      <c r="A76" s="14" t="s">
        <v>120</v>
      </c>
      <c r="B76" s="14"/>
      <c r="C76" s="14" t="s">
        <v>30</v>
      </c>
      <c r="D76" s="14">
        <v>500</v>
      </c>
      <c r="E76" s="14"/>
      <c r="F76" s="14">
        <v>14</v>
      </c>
      <c r="G76" s="14">
        <v>110</v>
      </c>
      <c r="H76" s="14">
        <v>40</v>
      </c>
      <c r="I76" s="15">
        <v>60</v>
      </c>
      <c r="J76" s="15">
        <v>65</v>
      </c>
      <c r="K76" s="15">
        <v>251</v>
      </c>
      <c r="L76" s="15"/>
      <c r="M76" s="14">
        <v>110</v>
      </c>
      <c r="N76" s="14">
        <v>40</v>
      </c>
      <c r="O76" s="14"/>
      <c r="P76" s="14"/>
      <c r="Q76" s="14"/>
      <c r="R76" s="14"/>
      <c r="S76" s="14"/>
      <c r="T76" s="14"/>
      <c r="U76" s="15">
        <v>8</v>
      </c>
      <c r="V76" s="15">
        <v>6</v>
      </c>
      <c r="W76" s="15">
        <v>7</v>
      </c>
      <c r="X76" s="15">
        <v>7</v>
      </c>
      <c r="Y76" s="15"/>
      <c r="Z76" s="15">
        <v>14</v>
      </c>
    </row>
    <row r="77" spans="1:26" x14ac:dyDescent="0.3">
      <c r="A77" s="14" t="s">
        <v>121</v>
      </c>
      <c r="B77" s="14"/>
      <c r="C77" s="14" t="s">
        <v>30</v>
      </c>
      <c r="D77" s="14"/>
      <c r="E77" s="14"/>
      <c r="F77" s="14">
        <v>2</v>
      </c>
      <c r="G77" s="14">
        <v>8</v>
      </c>
      <c r="H77" s="14">
        <v>0</v>
      </c>
      <c r="I77" s="12"/>
      <c r="J77" s="15">
        <v>0</v>
      </c>
      <c r="K77" s="15">
        <v>0.2</v>
      </c>
      <c r="L77" s="15"/>
      <c r="M77" s="14">
        <v>0</v>
      </c>
      <c r="N77" s="14">
        <v>0</v>
      </c>
      <c r="O77" s="14"/>
      <c r="P77" s="14"/>
      <c r="Q77" s="14"/>
      <c r="R77" s="14"/>
      <c r="S77" s="14"/>
      <c r="T77" s="14"/>
      <c r="U77" s="15">
        <v>0</v>
      </c>
      <c r="V77" s="15">
        <v>0</v>
      </c>
      <c r="W77" s="15">
        <v>0</v>
      </c>
      <c r="X77" s="15">
        <v>0</v>
      </c>
      <c r="Y77" s="15"/>
      <c r="Z77" s="15">
        <v>1</v>
      </c>
    </row>
    <row r="78" spans="1:26" x14ac:dyDescent="0.3">
      <c r="A78" s="14" t="s">
        <v>122</v>
      </c>
      <c r="B78" s="14"/>
      <c r="C78" s="14" t="s">
        <v>30</v>
      </c>
      <c r="D78" s="14"/>
      <c r="E78" s="14"/>
      <c r="F78" s="14">
        <v>1</v>
      </c>
      <c r="G78" s="14">
        <v>2</v>
      </c>
      <c r="H78" s="14">
        <v>0</v>
      </c>
      <c r="I78" s="15">
        <v>0</v>
      </c>
      <c r="J78" s="15">
        <v>0</v>
      </c>
      <c r="K78" s="15">
        <v>0.2</v>
      </c>
      <c r="L78" s="15"/>
      <c r="M78" s="14">
        <v>0</v>
      </c>
      <c r="N78" s="14">
        <v>0</v>
      </c>
      <c r="O78" s="14"/>
      <c r="P78" s="14"/>
      <c r="Q78" s="14"/>
      <c r="R78" s="14"/>
      <c r="S78" s="14"/>
      <c r="T78" s="14"/>
      <c r="U78" s="15">
        <v>0</v>
      </c>
      <c r="V78" s="15">
        <v>0</v>
      </c>
      <c r="W78" s="15">
        <v>0</v>
      </c>
      <c r="X78" s="15">
        <v>0</v>
      </c>
      <c r="Y78" s="15"/>
      <c r="Z78" s="15">
        <v>0</v>
      </c>
    </row>
    <row r="79" spans="1:26" x14ac:dyDescent="0.3">
      <c r="A79" s="14" t="s">
        <v>123</v>
      </c>
      <c r="B79" s="14"/>
      <c r="C79" s="14" t="s">
        <v>30</v>
      </c>
      <c r="D79" s="14"/>
      <c r="E79" s="14"/>
      <c r="F79" s="14">
        <v>0.02</v>
      </c>
      <c r="G79" s="14">
        <v>0</v>
      </c>
      <c r="H79" s="14">
        <v>0</v>
      </c>
      <c r="I79" s="15" t="s">
        <v>113</v>
      </c>
      <c r="J79" s="15" t="s">
        <v>113</v>
      </c>
      <c r="K79" s="15">
        <v>0</v>
      </c>
      <c r="L79" s="15"/>
      <c r="M79" s="14">
        <v>0</v>
      </c>
      <c r="N79" s="14">
        <v>0</v>
      </c>
      <c r="O79" s="14"/>
      <c r="P79" s="14"/>
      <c r="Q79" s="14"/>
      <c r="R79" s="14"/>
      <c r="S79" s="14"/>
      <c r="T79" s="14"/>
      <c r="U79" s="15" t="s">
        <v>113</v>
      </c>
      <c r="V79" s="15" t="s">
        <v>113</v>
      </c>
      <c r="W79" s="15" t="s">
        <v>113</v>
      </c>
      <c r="X79" s="15" t="s">
        <v>113</v>
      </c>
      <c r="Y79" s="15"/>
      <c r="Z79" s="15" t="s">
        <v>113</v>
      </c>
    </row>
    <row r="80" spans="1:26" x14ac:dyDescent="0.3">
      <c r="A80" s="14" t="s">
        <v>124</v>
      </c>
      <c r="B80" s="14"/>
      <c r="C80" s="14" t="s">
        <v>30</v>
      </c>
      <c r="D80" s="14">
        <v>400</v>
      </c>
      <c r="E80" s="14"/>
      <c r="F80" s="14">
        <v>0.3</v>
      </c>
      <c r="G80" s="14">
        <v>5</v>
      </c>
      <c r="H80" s="14">
        <v>34</v>
      </c>
      <c r="I80" s="15">
        <v>0.8</v>
      </c>
      <c r="J80" s="15">
        <v>0.9</v>
      </c>
      <c r="K80" s="15">
        <v>0.8</v>
      </c>
      <c r="L80" s="15"/>
      <c r="M80" s="14">
        <v>40</v>
      </c>
      <c r="N80" s="14">
        <v>15</v>
      </c>
      <c r="O80" s="14"/>
      <c r="P80" s="14"/>
      <c r="Q80" s="14"/>
      <c r="R80" s="14"/>
      <c r="S80" s="14"/>
      <c r="T80" s="14"/>
      <c r="U80" s="15">
        <v>0.2</v>
      </c>
      <c r="V80" s="15">
        <v>0.6</v>
      </c>
      <c r="W80" s="15">
        <v>0.3</v>
      </c>
      <c r="X80" s="15">
        <v>0.7</v>
      </c>
      <c r="Y80" s="15"/>
      <c r="Z80" s="15">
        <v>0.1</v>
      </c>
    </row>
    <row r="81" spans="1:26" x14ac:dyDescent="0.3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x14ac:dyDescent="0.3">
      <c r="A82" s="14" t="s">
        <v>125</v>
      </c>
      <c r="B82" s="14" t="s">
        <v>126</v>
      </c>
      <c r="C82" s="14" t="s">
        <v>30</v>
      </c>
      <c r="D82" s="14"/>
      <c r="E82" s="14"/>
      <c r="F82" s="14">
        <v>0</v>
      </c>
      <c r="G82" s="14">
        <v>0</v>
      </c>
      <c r="H82" s="14">
        <v>0</v>
      </c>
      <c r="I82" s="15">
        <v>0</v>
      </c>
      <c r="J82" s="15">
        <v>0</v>
      </c>
      <c r="K82" s="15">
        <v>0</v>
      </c>
      <c r="L82" s="15"/>
      <c r="M82" s="14">
        <v>0</v>
      </c>
      <c r="N82" s="14">
        <v>0</v>
      </c>
      <c r="O82" s="14"/>
      <c r="P82" s="14"/>
      <c r="Q82" s="14"/>
      <c r="R82" s="14"/>
      <c r="S82" s="14"/>
      <c r="T82" s="14"/>
      <c r="U82" s="15">
        <v>0</v>
      </c>
      <c r="V82" s="15">
        <v>0</v>
      </c>
      <c r="W82" s="15">
        <v>0</v>
      </c>
      <c r="X82" s="15">
        <v>0</v>
      </c>
      <c r="Y82" s="15"/>
      <c r="Z82" s="15">
        <v>0</v>
      </c>
    </row>
    <row r="83" spans="1:26" x14ac:dyDescent="0.3">
      <c r="A83" s="14" t="s">
        <v>127</v>
      </c>
      <c r="B83" s="14" t="s">
        <v>128</v>
      </c>
      <c r="C83" s="14" t="s">
        <v>30</v>
      </c>
      <c r="D83" s="14"/>
      <c r="E83" s="14"/>
      <c r="F83" s="14">
        <v>0</v>
      </c>
      <c r="G83" s="14">
        <v>0</v>
      </c>
      <c r="H83" s="14">
        <v>0</v>
      </c>
      <c r="I83" s="15">
        <v>0</v>
      </c>
      <c r="J83" s="15">
        <v>0</v>
      </c>
      <c r="K83" s="15">
        <v>0</v>
      </c>
      <c r="L83" s="15"/>
      <c r="M83" s="14">
        <v>0</v>
      </c>
      <c r="N83" s="14">
        <v>0</v>
      </c>
      <c r="O83" s="14"/>
      <c r="P83" s="14"/>
      <c r="Q83" s="14"/>
      <c r="R83" s="14"/>
      <c r="S83" s="14"/>
      <c r="T83" s="14"/>
      <c r="U83" s="15">
        <v>0</v>
      </c>
      <c r="V83" s="15">
        <v>0</v>
      </c>
      <c r="W83" s="15">
        <v>0</v>
      </c>
      <c r="X83" s="15">
        <v>0</v>
      </c>
      <c r="Y83" s="15"/>
      <c r="Z83" s="15">
        <v>0</v>
      </c>
    </row>
    <row r="84" spans="1:26" x14ac:dyDescent="0.3">
      <c r="A84" s="14" t="s">
        <v>129</v>
      </c>
      <c r="B84" s="14" t="s">
        <v>128</v>
      </c>
      <c r="C84" s="14" t="s">
        <v>30</v>
      </c>
      <c r="D84" s="14"/>
      <c r="E84" s="14"/>
      <c r="F84" s="14">
        <v>0</v>
      </c>
      <c r="G84" s="14">
        <v>0</v>
      </c>
      <c r="H84" s="14">
        <v>0</v>
      </c>
      <c r="I84" s="15">
        <v>0</v>
      </c>
      <c r="J84" s="15">
        <v>0</v>
      </c>
      <c r="K84" s="15">
        <v>0</v>
      </c>
      <c r="L84" s="15"/>
      <c r="M84" s="14">
        <v>0</v>
      </c>
      <c r="N84" s="14">
        <v>0</v>
      </c>
      <c r="O84" s="14"/>
      <c r="P84" s="14"/>
      <c r="Q84" s="14"/>
      <c r="R84" s="14"/>
      <c r="S84" s="14"/>
      <c r="T84" s="14"/>
      <c r="U84" s="15">
        <v>0</v>
      </c>
      <c r="V84" s="15">
        <v>0</v>
      </c>
      <c r="W84" s="15">
        <v>2</v>
      </c>
      <c r="X84" s="15">
        <v>0</v>
      </c>
      <c r="Y84" s="15"/>
      <c r="Z84" s="15">
        <v>0</v>
      </c>
    </row>
    <row r="85" spans="1:26" x14ac:dyDescent="0.3">
      <c r="A85" s="14" t="s">
        <v>130</v>
      </c>
      <c r="B85" s="14" t="s">
        <v>128</v>
      </c>
      <c r="C85" s="14" t="s">
        <v>30</v>
      </c>
      <c r="D85" s="14"/>
      <c r="E85" s="14"/>
      <c r="F85" s="14">
        <v>0</v>
      </c>
      <c r="G85" s="14">
        <v>0</v>
      </c>
      <c r="H85" s="14">
        <v>0</v>
      </c>
      <c r="I85" s="15">
        <v>0</v>
      </c>
      <c r="J85" s="15">
        <v>0</v>
      </c>
      <c r="K85" s="15">
        <v>0</v>
      </c>
      <c r="L85" s="15"/>
      <c r="M85" s="14">
        <v>0</v>
      </c>
      <c r="N85" s="14">
        <v>0</v>
      </c>
      <c r="O85" s="14"/>
      <c r="P85" s="14"/>
      <c r="Q85" s="14"/>
      <c r="R85" s="14"/>
      <c r="S85" s="14"/>
      <c r="T85" s="14"/>
      <c r="U85" s="15">
        <v>0</v>
      </c>
      <c r="V85" s="15">
        <v>0</v>
      </c>
      <c r="W85" s="15">
        <v>3</v>
      </c>
      <c r="X85" s="15">
        <v>0</v>
      </c>
      <c r="Y85" s="15"/>
      <c r="Z85" s="15">
        <v>0</v>
      </c>
    </row>
    <row r="86" spans="1:26" x14ac:dyDescent="0.3">
      <c r="A86" s="14" t="s">
        <v>131</v>
      </c>
      <c r="B86" s="14" t="s">
        <v>128</v>
      </c>
      <c r="C86" s="14" t="s">
        <v>30</v>
      </c>
      <c r="D86" s="14"/>
      <c r="E86" s="14"/>
      <c r="F86" s="14">
        <v>0</v>
      </c>
      <c r="G86" s="14">
        <v>0</v>
      </c>
      <c r="H86" s="14">
        <v>8</v>
      </c>
      <c r="I86" s="15">
        <v>1</v>
      </c>
      <c r="J86" s="15">
        <v>1</v>
      </c>
      <c r="K86" s="15">
        <v>0.2</v>
      </c>
      <c r="L86" s="15"/>
      <c r="M86" s="14">
        <v>3</v>
      </c>
      <c r="N86" s="14">
        <v>2</v>
      </c>
      <c r="O86" s="14"/>
      <c r="P86" s="14"/>
      <c r="Q86" s="14"/>
      <c r="R86" s="14"/>
      <c r="S86" s="14"/>
      <c r="T86" s="14"/>
      <c r="U86" s="15">
        <v>0.6</v>
      </c>
      <c r="V86" s="15">
        <v>0.9</v>
      </c>
      <c r="W86" s="15">
        <v>0.5</v>
      </c>
      <c r="X86" s="15">
        <v>0.8</v>
      </c>
      <c r="Y86" s="15"/>
      <c r="Z86" s="15">
        <v>0</v>
      </c>
    </row>
    <row r="87" spans="1:26" x14ac:dyDescent="0.3">
      <c r="A87" s="14" t="s">
        <v>132</v>
      </c>
      <c r="B87" s="14" t="s">
        <v>128</v>
      </c>
      <c r="C87" s="14" t="s">
        <v>30</v>
      </c>
      <c r="D87" s="14"/>
      <c r="E87" s="14"/>
      <c r="F87" s="14">
        <v>0</v>
      </c>
      <c r="G87" s="14">
        <v>0</v>
      </c>
      <c r="H87" s="14">
        <v>0</v>
      </c>
      <c r="I87" s="15">
        <v>0</v>
      </c>
      <c r="J87" s="15">
        <v>0</v>
      </c>
      <c r="K87" s="15">
        <v>0</v>
      </c>
      <c r="L87" s="15"/>
      <c r="M87" s="14">
        <v>0</v>
      </c>
      <c r="N87" s="14">
        <v>0</v>
      </c>
      <c r="O87" s="14"/>
      <c r="P87" s="14"/>
      <c r="Q87" s="14"/>
      <c r="R87" s="14"/>
      <c r="S87" s="14"/>
      <c r="T87" s="14"/>
      <c r="U87" s="15">
        <v>0</v>
      </c>
      <c r="V87" s="15">
        <v>0</v>
      </c>
      <c r="W87" s="15">
        <v>0</v>
      </c>
      <c r="X87" s="15">
        <v>0</v>
      </c>
      <c r="Y87" s="15"/>
      <c r="Z87" s="15">
        <v>0</v>
      </c>
    </row>
    <row r="88" spans="1:26" x14ac:dyDescent="0.3">
      <c r="A88" s="14" t="s">
        <v>133</v>
      </c>
      <c r="B88" s="14" t="s">
        <v>128</v>
      </c>
      <c r="C88" s="14" t="s">
        <v>30</v>
      </c>
      <c r="D88" s="14"/>
      <c r="E88" s="14"/>
      <c r="F88" s="14">
        <v>0</v>
      </c>
      <c r="G88" s="14">
        <v>0</v>
      </c>
      <c r="H88" s="14">
        <v>0</v>
      </c>
      <c r="I88" s="15">
        <v>0</v>
      </c>
      <c r="J88" s="15">
        <v>0</v>
      </c>
      <c r="K88" s="15">
        <v>0</v>
      </c>
      <c r="L88" s="15"/>
      <c r="M88" s="14">
        <v>0</v>
      </c>
      <c r="N88" s="14">
        <v>0</v>
      </c>
      <c r="O88" s="14"/>
      <c r="P88" s="14"/>
      <c r="Q88" s="14"/>
      <c r="R88" s="14"/>
      <c r="S88" s="14"/>
      <c r="T88" s="14"/>
      <c r="U88" s="15">
        <v>0</v>
      </c>
      <c r="V88" s="15">
        <v>0</v>
      </c>
      <c r="W88" s="15">
        <v>0</v>
      </c>
      <c r="X88" s="15">
        <v>0</v>
      </c>
      <c r="Y88" s="15"/>
      <c r="Z88" s="15">
        <v>0</v>
      </c>
    </row>
    <row r="89" spans="1:26" x14ac:dyDescent="0.3">
      <c r="A89" s="14" t="s">
        <v>134</v>
      </c>
      <c r="B89" s="14" t="s">
        <v>128</v>
      </c>
      <c r="C89" s="14" t="s">
        <v>30</v>
      </c>
      <c r="D89" s="14"/>
      <c r="E89" s="14"/>
      <c r="F89" s="14">
        <v>0</v>
      </c>
      <c r="G89" s="14">
        <v>0</v>
      </c>
      <c r="H89" s="14">
        <v>0</v>
      </c>
      <c r="I89" s="15">
        <v>0</v>
      </c>
      <c r="J89" s="15">
        <v>0</v>
      </c>
      <c r="K89" s="15">
        <v>0</v>
      </c>
      <c r="L89" s="15"/>
      <c r="M89" s="14">
        <v>0</v>
      </c>
      <c r="N89" s="14">
        <v>0</v>
      </c>
      <c r="O89" s="14"/>
      <c r="P89" s="14"/>
      <c r="Q89" s="14"/>
      <c r="R89" s="14"/>
      <c r="S89" s="14"/>
      <c r="T89" s="14"/>
      <c r="U89" s="15">
        <v>0</v>
      </c>
      <c r="V89" s="15">
        <v>0</v>
      </c>
      <c r="W89" s="15">
        <v>2</v>
      </c>
      <c r="X89" s="15">
        <v>0</v>
      </c>
      <c r="Y89" s="15"/>
      <c r="Z89" s="15">
        <v>0</v>
      </c>
    </row>
    <row r="90" spans="1:26" x14ac:dyDescent="0.3">
      <c r="A90" s="14" t="s">
        <v>135</v>
      </c>
      <c r="B90" s="14" t="s">
        <v>128</v>
      </c>
      <c r="C90" s="14" t="s">
        <v>30</v>
      </c>
      <c r="D90" s="14"/>
      <c r="E90" s="14"/>
      <c r="F90" s="14">
        <v>0</v>
      </c>
      <c r="G90" s="14">
        <v>0</v>
      </c>
      <c r="H90" s="14">
        <v>5</v>
      </c>
      <c r="I90" s="15">
        <v>0.1</v>
      </c>
      <c r="J90" s="15">
        <v>0.1</v>
      </c>
      <c r="K90" s="15">
        <v>0</v>
      </c>
      <c r="L90" s="15"/>
      <c r="M90" s="14">
        <v>1</v>
      </c>
      <c r="N90" s="14">
        <v>1</v>
      </c>
      <c r="O90" s="14"/>
      <c r="P90" s="14"/>
      <c r="Q90" s="14"/>
      <c r="R90" s="14"/>
      <c r="S90" s="14"/>
      <c r="T90" s="14"/>
      <c r="U90" s="15" t="s">
        <v>174</v>
      </c>
      <c r="V90" s="15" t="s">
        <v>185</v>
      </c>
      <c r="W90" s="15">
        <v>0.3</v>
      </c>
      <c r="X90" s="15" t="s">
        <v>184</v>
      </c>
      <c r="Y90" s="15"/>
      <c r="Z90" s="15">
        <v>0</v>
      </c>
    </row>
    <row r="91" spans="1:26" x14ac:dyDescent="0.3">
      <c r="A91" s="14" t="s">
        <v>136</v>
      </c>
      <c r="B91" s="14" t="s">
        <v>137</v>
      </c>
      <c r="C91" s="14" t="s">
        <v>30</v>
      </c>
      <c r="D91" s="14"/>
      <c r="E91" s="14"/>
      <c r="F91" s="14">
        <v>0</v>
      </c>
      <c r="G91" s="14">
        <v>0</v>
      </c>
      <c r="H91" s="14">
        <v>0</v>
      </c>
      <c r="I91" s="15">
        <v>0</v>
      </c>
      <c r="J91" s="15">
        <v>0</v>
      </c>
      <c r="K91" s="15">
        <v>0</v>
      </c>
      <c r="L91" s="15"/>
      <c r="M91" s="14">
        <v>150</v>
      </c>
      <c r="N91" s="14">
        <v>0</v>
      </c>
      <c r="O91" s="14"/>
      <c r="P91" s="14"/>
      <c r="Q91" s="14"/>
      <c r="R91" s="14"/>
      <c r="S91" s="14"/>
      <c r="T91" s="14"/>
      <c r="U91" s="15">
        <v>0</v>
      </c>
      <c r="V91" s="15">
        <v>0</v>
      </c>
      <c r="W91" s="15">
        <v>0</v>
      </c>
      <c r="X91" s="15">
        <v>0</v>
      </c>
      <c r="Y91" s="15"/>
      <c r="Z91" s="15">
        <v>0</v>
      </c>
    </row>
    <row r="92" spans="1:26" x14ac:dyDescent="0.3">
      <c r="A92" s="14" t="s">
        <v>138</v>
      </c>
      <c r="B92" s="14" t="s">
        <v>139</v>
      </c>
      <c r="C92" s="14" t="s">
        <v>30</v>
      </c>
      <c r="D92" s="14"/>
      <c r="E92" s="14"/>
      <c r="F92" s="14">
        <v>0</v>
      </c>
      <c r="G92" s="14">
        <v>0</v>
      </c>
      <c r="H92" s="14">
        <v>0</v>
      </c>
      <c r="I92" s="15">
        <v>0</v>
      </c>
      <c r="J92" s="15">
        <v>0</v>
      </c>
      <c r="K92" s="15">
        <v>0</v>
      </c>
      <c r="L92" s="15"/>
      <c r="M92" s="14">
        <v>0</v>
      </c>
      <c r="N92" s="14">
        <v>0</v>
      </c>
      <c r="O92" s="14"/>
      <c r="P92" s="14"/>
      <c r="Q92" s="14"/>
      <c r="R92" s="14"/>
      <c r="S92" s="14"/>
      <c r="T92" s="14"/>
      <c r="U92" s="15">
        <v>0</v>
      </c>
      <c r="V92" s="15">
        <v>0</v>
      </c>
      <c r="W92" s="15">
        <v>0</v>
      </c>
      <c r="X92" s="15">
        <v>0</v>
      </c>
      <c r="Y92" s="15"/>
      <c r="Z92" s="15">
        <v>0</v>
      </c>
    </row>
    <row r="93" spans="1:26" x14ac:dyDescent="0.3">
      <c r="A93" s="14" t="s">
        <v>140</v>
      </c>
      <c r="B93" s="14" t="s">
        <v>141</v>
      </c>
      <c r="C93" s="14" t="s">
        <v>30</v>
      </c>
      <c r="D93" s="14"/>
      <c r="E93" s="14"/>
      <c r="F93" s="14">
        <v>0</v>
      </c>
      <c r="G93" s="14">
        <v>0</v>
      </c>
      <c r="H93" s="14">
        <v>0</v>
      </c>
      <c r="I93" s="15">
        <v>0</v>
      </c>
      <c r="J93" s="15">
        <v>0</v>
      </c>
      <c r="K93" s="15">
        <v>0</v>
      </c>
      <c r="L93" s="15"/>
      <c r="M93" s="14">
        <v>0</v>
      </c>
      <c r="N93" s="14">
        <v>0</v>
      </c>
      <c r="O93" s="14"/>
      <c r="P93" s="14"/>
      <c r="Q93" s="14"/>
      <c r="R93" s="14"/>
      <c r="S93" s="14"/>
      <c r="T93" s="14"/>
      <c r="U93" s="15">
        <v>0</v>
      </c>
      <c r="V93" s="15">
        <v>0</v>
      </c>
      <c r="W93" s="15">
        <v>0</v>
      </c>
      <c r="X93" s="15">
        <v>0</v>
      </c>
      <c r="Y93" s="15"/>
      <c r="Z93" s="15">
        <v>0</v>
      </c>
    </row>
    <row r="94" spans="1:26" x14ac:dyDescent="0.3">
      <c r="A94" s="14" t="s">
        <v>142</v>
      </c>
      <c r="B94" s="14" t="s">
        <v>143</v>
      </c>
      <c r="C94" s="14" t="s">
        <v>30</v>
      </c>
      <c r="D94" s="14"/>
      <c r="E94" s="14"/>
      <c r="F94" s="14">
        <v>0</v>
      </c>
      <c r="G94" s="14">
        <v>0</v>
      </c>
      <c r="H94" s="14">
        <v>0</v>
      </c>
      <c r="I94" s="15">
        <v>0</v>
      </c>
      <c r="J94" s="15">
        <v>0</v>
      </c>
      <c r="K94" s="15">
        <v>0</v>
      </c>
      <c r="L94" s="15"/>
      <c r="M94" s="14">
        <v>0</v>
      </c>
      <c r="N94" s="14">
        <v>0</v>
      </c>
      <c r="O94" s="14"/>
      <c r="P94" s="14"/>
      <c r="Q94" s="14"/>
      <c r="R94" s="14"/>
      <c r="S94" s="14"/>
      <c r="T94" s="14"/>
      <c r="U94" s="15">
        <v>0</v>
      </c>
      <c r="V94" s="15">
        <v>0</v>
      </c>
      <c r="W94" s="15">
        <v>0</v>
      </c>
      <c r="X94" s="15">
        <v>0</v>
      </c>
      <c r="Y94" s="15"/>
      <c r="Z94" s="15">
        <v>0</v>
      </c>
    </row>
    <row r="95" spans="1:26" x14ac:dyDescent="0.3">
      <c r="A95" s="14" t="s">
        <v>144</v>
      </c>
      <c r="B95" s="14" t="s">
        <v>145</v>
      </c>
      <c r="C95" s="14" t="s">
        <v>30</v>
      </c>
      <c r="D95" s="14"/>
      <c r="E95" s="14"/>
      <c r="F95" s="14">
        <v>0</v>
      </c>
      <c r="G95" s="14">
        <v>0</v>
      </c>
      <c r="H95" s="14">
        <v>0</v>
      </c>
      <c r="I95" s="15">
        <v>0</v>
      </c>
      <c r="J95" s="15">
        <v>0</v>
      </c>
      <c r="K95" s="15">
        <v>0</v>
      </c>
      <c r="L95" s="15"/>
      <c r="M95" s="14">
        <v>0</v>
      </c>
      <c r="N95" s="14">
        <v>0</v>
      </c>
      <c r="O95" s="14"/>
      <c r="P95" s="14"/>
      <c r="Q95" s="14"/>
      <c r="R95" s="14"/>
      <c r="S95" s="14"/>
      <c r="T95" s="14"/>
      <c r="U95" s="15">
        <v>0</v>
      </c>
      <c r="V95" s="15">
        <v>0</v>
      </c>
      <c r="W95" s="15">
        <v>0</v>
      </c>
      <c r="X95" s="15">
        <v>0</v>
      </c>
      <c r="Y95" s="15"/>
      <c r="Z95" s="15">
        <v>0</v>
      </c>
    </row>
    <row r="96" spans="1:26" x14ac:dyDescent="0.3">
      <c r="A96" s="14" t="s">
        <v>146</v>
      </c>
      <c r="B96" s="14" t="s">
        <v>147</v>
      </c>
      <c r="C96" s="14" t="s">
        <v>30</v>
      </c>
      <c r="D96" s="14"/>
      <c r="E96" s="14"/>
      <c r="F96" s="14">
        <v>0</v>
      </c>
      <c r="G96" s="14">
        <v>0</v>
      </c>
      <c r="H96" s="14">
        <v>0</v>
      </c>
      <c r="I96" s="15">
        <v>0</v>
      </c>
      <c r="J96" s="15">
        <v>0</v>
      </c>
      <c r="K96" s="15">
        <v>0</v>
      </c>
      <c r="L96" s="15"/>
      <c r="M96" s="14">
        <v>0</v>
      </c>
      <c r="N96" s="14">
        <v>0</v>
      </c>
      <c r="O96" s="14"/>
      <c r="P96" s="14"/>
      <c r="Q96" s="14"/>
      <c r="R96" s="14"/>
      <c r="S96" s="14"/>
      <c r="T96" s="14"/>
      <c r="U96" s="15">
        <v>0</v>
      </c>
      <c r="V96" s="15">
        <v>0</v>
      </c>
      <c r="W96" s="15">
        <v>0</v>
      </c>
      <c r="X96" s="15" t="s">
        <v>186</v>
      </c>
      <c r="Y96" s="15"/>
      <c r="Z96" s="15">
        <v>0</v>
      </c>
    </row>
    <row r="97" spans="1:26" x14ac:dyDescent="0.3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x14ac:dyDescent="0.3">
      <c r="A98" s="14" t="s">
        <v>148</v>
      </c>
      <c r="B98" s="14" t="s">
        <v>149</v>
      </c>
      <c r="C98" s="14" t="s">
        <v>30</v>
      </c>
      <c r="D98" s="14"/>
      <c r="E98" s="14"/>
      <c r="F98" s="14">
        <v>5</v>
      </c>
      <c r="G98" s="14">
        <v>0</v>
      </c>
      <c r="H98" s="14">
        <v>0.02</v>
      </c>
      <c r="I98" s="15">
        <v>0.02</v>
      </c>
      <c r="J98" s="15">
        <v>0.02</v>
      </c>
      <c r="K98" s="15">
        <v>0.01</v>
      </c>
      <c r="L98" s="15"/>
      <c r="M98" s="14">
        <v>0.1</v>
      </c>
      <c r="N98" s="14">
        <v>0.05</v>
      </c>
      <c r="O98" s="14"/>
      <c r="P98" s="14"/>
      <c r="Q98" s="14"/>
      <c r="R98" s="14"/>
      <c r="S98" s="14"/>
      <c r="T98" s="14"/>
      <c r="U98" s="15">
        <v>8.3000000000000007</v>
      </c>
      <c r="V98" s="15">
        <v>0.45</v>
      </c>
      <c r="W98" s="15">
        <v>0.2</v>
      </c>
      <c r="X98" s="15">
        <v>0.02</v>
      </c>
      <c r="Y98" s="15"/>
      <c r="Z98" s="15">
        <v>0</v>
      </c>
    </row>
    <row r="99" spans="1:26" x14ac:dyDescent="0.3">
      <c r="A99" s="14" t="s">
        <v>150</v>
      </c>
      <c r="B99" s="14" t="s">
        <v>149</v>
      </c>
      <c r="C99" s="14" t="s">
        <v>30</v>
      </c>
      <c r="D99" s="14"/>
      <c r="E99" s="14"/>
      <c r="F99" s="14">
        <v>1</v>
      </c>
      <c r="G99" s="14">
        <v>0</v>
      </c>
      <c r="H99" s="14">
        <v>0</v>
      </c>
      <c r="I99" s="15">
        <v>0</v>
      </c>
      <c r="J99" s="15">
        <v>0</v>
      </c>
      <c r="K99" s="15">
        <v>0</v>
      </c>
      <c r="L99" s="15"/>
      <c r="M99" s="14">
        <v>0</v>
      </c>
      <c r="N99" s="14">
        <v>0</v>
      </c>
      <c r="O99" s="14"/>
      <c r="P99" s="14"/>
      <c r="Q99" s="14"/>
      <c r="R99" s="14"/>
      <c r="S99" s="14"/>
      <c r="T99" s="14"/>
      <c r="U99" s="15">
        <v>0.5</v>
      </c>
      <c r="V99" s="15">
        <v>0.02</v>
      </c>
      <c r="W99" s="15">
        <v>0</v>
      </c>
      <c r="X99" s="15">
        <v>0.01</v>
      </c>
      <c r="Y99" s="15"/>
      <c r="Z99" s="15">
        <v>0</v>
      </c>
    </row>
    <row r="100" spans="1:26" x14ac:dyDescent="0.3">
      <c r="A100" s="14" t="s">
        <v>158</v>
      </c>
      <c r="B100" s="14" t="s">
        <v>149</v>
      </c>
      <c r="C100" s="14" t="s">
        <v>30</v>
      </c>
      <c r="D100" s="14"/>
      <c r="E100" s="14"/>
      <c r="F100" s="14">
        <v>3</v>
      </c>
      <c r="G100" s="14">
        <v>0</v>
      </c>
      <c r="H100" s="14">
        <v>0</v>
      </c>
      <c r="I100" s="15">
        <v>0</v>
      </c>
      <c r="J100" s="15">
        <v>0</v>
      </c>
      <c r="K100" s="15">
        <v>0.01</v>
      </c>
      <c r="L100" s="15"/>
      <c r="M100" s="14">
        <v>0</v>
      </c>
      <c r="N100" s="14">
        <v>0</v>
      </c>
      <c r="O100" s="14"/>
      <c r="P100" s="14"/>
      <c r="Q100" s="14"/>
      <c r="R100" s="14"/>
      <c r="S100" s="14"/>
      <c r="T100" s="14"/>
      <c r="U100" s="15">
        <v>0</v>
      </c>
      <c r="V100" s="15">
        <v>0.01</v>
      </c>
      <c r="W100" s="15">
        <v>0.02</v>
      </c>
      <c r="X100" s="15">
        <v>0</v>
      </c>
      <c r="Y100" s="15"/>
      <c r="Z100" s="15">
        <v>0</v>
      </c>
    </row>
    <row r="101" spans="1:26" x14ac:dyDescent="0.3">
      <c r="A101" s="14" t="s">
        <v>151</v>
      </c>
      <c r="B101" s="14" t="s">
        <v>152</v>
      </c>
      <c r="C101" s="14" t="s">
        <v>30</v>
      </c>
      <c r="D101" s="14"/>
      <c r="E101" s="14"/>
      <c r="F101" s="14">
        <v>0</v>
      </c>
      <c r="G101" s="14">
        <v>0</v>
      </c>
      <c r="H101" s="14">
        <v>0</v>
      </c>
      <c r="I101" s="15">
        <v>0</v>
      </c>
      <c r="J101" s="15">
        <v>0</v>
      </c>
      <c r="K101" s="15">
        <v>0</v>
      </c>
      <c r="L101" s="15"/>
      <c r="M101" s="14">
        <v>0</v>
      </c>
      <c r="N101" s="14">
        <v>0</v>
      </c>
      <c r="O101" s="14"/>
      <c r="P101" s="14"/>
      <c r="Q101" s="14"/>
      <c r="R101" s="14"/>
      <c r="S101" s="14"/>
      <c r="T101" s="14"/>
      <c r="U101" s="15">
        <v>0</v>
      </c>
      <c r="V101" s="15">
        <v>2.6</v>
      </c>
      <c r="W101" s="15">
        <v>0.3</v>
      </c>
      <c r="X101" s="15">
        <v>0</v>
      </c>
      <c r="Y101" s="15"/>
      <c r="Z101" s="15">
        <v>0</v>
      </c>
    </row>
    <row r="102" spans="1:26" x14ac:dyDescent="0.3">
      <c r="A102" s="14" t="s">
        <v>153</v>
      </c>
      <c r="B102" s="14" t="s">
        <v>154</v>
      </c>
      <c r="C102" s="14" t="s">
        <v>30</v>
      </c>
      <c r="D102" s="14">
        <v>6</v>
      </c>
      <c r="E102" s="14"/>
      <c r="F102" s="14">
        <v>18</v>
      </c>
      <c r="G102" s="14">
        <v>0</v>
      </c>
      <c r="H102" s="14">
        <v>0.5</v>
      </c>
      <c r="I102" s="15">
        <v>0.1</v>
      </c>
      <c r="J102" s="15">
        <v>0.1</v>
      </c>
      <c r="K102" s="15">
        <v>0.1</v>
      </c>
      <c r="L102" s="15"/>
      <c r="M102" s="14">
        <v>0.3</v>
      </c>
      <c r="N102" s="14">
        <v>0.2</v>
      </c>
      <c r="O102" s="14"/>
      <c r="P102" s="14"/>
      <c r="Q102" s="14"/>
      <c r="R102" s="14"/>
      <c r="S102" s="14"/>
      <c r="T102" s="14"/>
      <c r="U102" s="15">
        <v>0.3</v>
      </c>
      <c r="V102" s="15">
        <v>0.1</v>
      </c>
      <c r="W102" s="15">
        <v>0.2</v>
      </c>
      <c r="X102" s="15">
        <v>0.05</v>
      </c>
      <c r="Y102" s="15"/>
      <c r="Z102" s="15">
        <v>0</v>
      </c>
    </row>
    <row r="103" spans="1:26" x14ac:dyDescent="0.3">
      <c r="A103" s="14" t="s">
        <v>155</v>
      </c>
      <c r="B103" s="14" t="s">
        <v>154</v>
      </c>
      <c r="C103" s="14" t="s">
        <v>30</v>
      </c>
      <c r="D103" s="14">
        <v>2</v>
      </c>
      <c r="E103" s="14"/>
      <c r="F103" s="14">
        <v>12</v>
      </c>
      <c r="G103" s="14">
        <v>0</v>
      </c>
      <c r="H103" s="14">
        <v>0.3</v>
      </c>
      <c r="I103" s="15">
        <v>0.05</v>
      </c>
      <c r="J103" s="15">
        <v>0.05</v>
      </c>
      <c r="K103" s="15">
        <v>0.1</v>
      </c>
      <c r="L103" s="15"/>
      <c r="M103" s="14">
        <v>0.2</v>
      </c>
      <c r="N103" s="14">
        <v>0.1</v>
      </c>
      <c r="O103" s="14"/>
      <c r="P103" s="14"/>
      <c r="Q103" s="14"/>
      <c r="R103" s="14"/>
      <c r="S103" s="14"/>
      <c r="T103" s="14"/>
      <c r="U103" s="15">
        <v>0.05</v>
      </c>
      <c r="V103" s="15">
        <v>0.02</v>
      </c>
      <c r="W103" s="15">
        <v>0.1</v>
      </c>
      <c r="X103" s="15">
        <v>0.01</v>
      </c>
      <c r="Y103" s="15"/>
      <c r="Z103" s="15">
        <v>0</v>
      </c>
    </row>
    <row r="104" spans="1:26" x14ac:dyDescent="0.3">
      <c r="A104" s="14" t="s">
        <v>156</v>
      </c>
      <c r="B104" s="14" t="s">
        <v>157</v>
      </c>
      <c r="C104" s="14" t="s">
        <v>30</v>
      </c>
      <c r="D104" s="14"/>
      <c r="E104" s="14"/>
      <c r="F104" s="14">
        <v>0</v>
      </c>
      <c r="G104" s="14">
        <v>0</v>
      </c>
      <c r="H104" s="14">
        <v>0</v>
      </c>
      <c r="I104" s="15">
        <v>0</v>
      </c>
      <c r="J104" s="15">
        <v>0</v>
      </c>
      <c r="K104" s="15">
        <v>0</v>
      </c>
      <c r="L104" s="15"/>
      <c r="M104" s="14">
        <v>0</v>
      </c>
      <c r="N104" s="14">
        <v>0</v>
      </c>
      <c r="O104" s="14"/>
      <c r="P104" s="14"/>
      <c r="Q104" s="14"/>
      <c r="R104" s="14"/>
      <c r="S104" s="14"/>
      <c r="T104" s="14"/>
      <c r="U104" s="15">
        <v>0</v>
      </c>
      <c r="V104" s="15">
        <v>0</v>
      </c>
      <c r="W104" s="15">
        <v>0</v>
      </c>
      <c r="X104" s="15">
        <v>0</v>
      </c>
      <c r="Y104" s="15"/>
      <c r="Z104" s="1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inputs</vt:lpstr>
      <vt:lpstr>macros and basic</vt:lpstr>
      <vt:lpstr>master data </vt:lpstr>
      <vt:lpstr>'macros and basic'!dairy</vt:lpstr>
      <vt:lpstr>'macros and basic'!Particulars</vt:lpstr>
      <vt:lpstr>'macros and basic'!supplements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 kariya</dc:creator>
  <cp:lastModifiedBy>rishab kariya</cp:lastModifiedBy>
  <dcterms:created xsi:type="dcterms:W3CDTF">2025-09-18T06:55:36Z</dcterms:created>
  <dcterms:modified xsi:type="dcterms:W3CDTF">2026-04-29T22:50:23Z</dcterms:modified>
</cp:coreProperties>
</file>