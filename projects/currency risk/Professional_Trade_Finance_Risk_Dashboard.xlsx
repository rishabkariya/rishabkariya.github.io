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Data" sheetId="1" state="visible" r:id="rId1"/>
    <sheet xmlns:r="http://schemas.openxmlformats.org/officeDocument/2006/relationships" name="Country_Risk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ging_Analysis" sheetId="4" state="visible" r:id="rId4"/>
    <sheet xmlns:r="http://schemas.openxmlformats.org/officeDocument/2006/relationships" name="FX_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  <sz val="20"/>
    </font>
    <font>
      <b val="1"/>
      <sz val="1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Country Risk Exposure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'Country_Risk'!B1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'Country_Risk'!$A$2:$A$8</f>
            </numRef>
          </cat>
          <val>
            <numRef>
              <f>'Country_Risk'!$B$2:$B$8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FX Impact by Country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'Country_Risk'!C1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'Country_Risk'!$A$2:$A$8</f>
            </numRef>
          </cat>
          <val>
            <numRef>
              <f>'Country_Risk'!$C$2:$C$8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Receivables Aging Distribution</a:t>
            </a:r>
          </a:p>
        </rich>
      </tx>
    </title>
    <plotArea>
      <pieChart>
        <varyColors val="1"/>
        <ser>
          <idx val="0"/>
          <order val="0"/>
          <tx>
            <strRef>
              <f>'Aging_Analysis'!B1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'Aging_Analysis'!$A$2:$A$5</f>
            </numRef>
          </cat>
          <val>
            <numRef>
              <f>'Aging_Analysis'!$B$2:$B$5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FX Impact Trend</a:t>
            </a:r>
          </a:p>
        </rich>
      </tx>
    </title>
    <plotArea>
      <lineChart>
        <grouping val="standard"/>
        <ser>
          <idx val="0"/>
          <order val="0"/>
          <tx>
            <strRef>
              <f>'FX_Trend'!B1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'FX_Trend'!$A$2:$A$13</f>
            </numRef>
          </cat>
          <val>
            <numRef>
              <f>'FX_Trend'!$B$2:$B$13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LC_ID</t>
        </is>
      </c>
      <c r="B1" s="1" t="inlineStr">
        <is>
          <t>Client</t>
        </is>
      </c>
      <c r="C1" s="1" t="inlineStr">
        <is>
          <t>Country</t>
        </is>
      </c>
      <c r="D1" s="1" t="inlineStr">
        <is>
          <t>Currency</t>
        </is>
      </c>
      <c r="E1" s="1" t="inlineStr">
        <is>
          <t>Invoice_USD</t>
        </is>
      </c>
      <c r="F1" s="1" t="inlineStr">
        <is>
          <t>LC_Exposure_USD</t>
        </is>
      </c>
      <c r="G1" s="1" t="inlineStr">
        <is>
          <t>Due_Date</t>
        </is>
      </c>
      <c r="H1" s="1" t="inlineStr">
        <is>
          <t>Days_Overdue</t>
        </is>
      </c>
      <c r="I1" s="1" t="inlineStr">
        <is>
          <t>FX_Impact_USD</t>
        </is>
      </c>
      <c r="J1" s="1" t="inlineStr">
        <is>
          <t>Country_Risk</t>
        </is>
      </c>
      <c r="K1" s="1" t="inlineStr">
        <is>
          <t>Status</t>
        </is>
      </c>
    </row>
    <row r="2">
      <c r="A2" s="2" t="inlineStr">
        <is>
          <t>LC1002</t>
        </is>
      </c>
      <c r="B2" s="2" t="inlineStr">
        <is>
          <t>Samsung</t>
        </is>
      </c>
      <c r="C2" s="2" t="inlineStr">
        <is>
          <t>Nigeria</t>
        </is>
      </c>
      <c r="D2" s="2" t="inlineStr">
        <is>
          <t>BRL</t>
        </is>
      </c>
      <c r="E2" s="2" t="n">
        <v>626680</v>
      </c>
      <c r="F2" s="2" t="n">
        <v>673387</v>
      </c>
      <c r="G2" s="2" t="inlineStr">
        <is>
          <t>2026-02-16</t>
        </is>
      </c>
      <c r="H2" s="2" t="n">
        <v>33</v>
      </c>
      <c r="I2" s="2" t="n">
        <v>2241.67</v>
      </c>
      <c r="J2" s="2" t="inlineStr">
        <is>
          <t>High</t>
        </is>
      </c>
      <c r="K2" s="2" t="inlineStr">
        <is>
          <t>Open</t>
        </is>
      </c>
    </row>
    <row r="3">
      <c r="A3" s="2" t="inlineStr">
        <is>
          <t>LC1003</t>
        </is>
      </c>
      <c r="B3" s="2" t="inlineStr">
        <is>
          <t>Maersk</t>
        </is>
      </c>
      <c r="C3" s="2" t="inlineStr">
        <is>
          <t>UAE</t>
        </is>
      </c>
      <c r="D3" s="2" t="inlineStr">
        <is>
          <t>CNY</t>
        </is>
      </c>
      <c r="E3" s="2" t="n">
        <v>97205</v>
      </c>
      <c r="F3" s="2" t="n">
        <v>617436</v>
      </c>
      <c r="G3" s="2" t="inlineStr">
        <is>
          <t>2026-02-13</t>
        </is>
      </c>
      <c r="H3" s="2" t="n">
        <v>9</v>
      </c>
      <c r="I3" s="2" t="n">
        <v>-13769.45</v>
      </c>
      <c r="J3" s="2" t="inlineStr">
        <is>
          <t>Low</t>
        </is>
      </c>
      <c r="K3" s="2" t="inlineStr">
        <is>
          <t>Open</t>
        </is>
      </c>
    </row>
    <row r="4">
      <c r="A4" s="2" t="inlineStr">
        <is>
          <t>LC1004</t>
        </is>
      </c>
      <c r="B4" s="2" t="inlineStr">
        <is>
          <t>Maersk</t>
        </is>
      </c>
      <c r="C4" s="2" t="inlineStr">
        <is>
          <t>Turkey</t>
        </is>
      </c>
      <c r="D4" s="2" t="inlineStr">
        <is>
          <t>EUR</t>
        </is>
      </c>
      <c r="E4" s="2" t="n">
        <v>430560</v>
      </c>
      <c r="F4" s="2" t="n">
        <v>607895</v>
      </c>
      <c r="G4" s="2" t="inlineStr">
        <is>
          <t>2026-03-02</t>
        </is>
      </c>
      <c r="H4" s="2" t="n">
        <v>18</v>
      </c>
      <c r="I4" s="2" t="n">
        <v>-4493.18</v>
      </c>
      <c r="J4" s="2" t="inlineStr">
        <is>
          <t>High</t>
        </is>
      </c>
      <c r="K4" s="2" t="inlineStr">
        <is>
          <t>Open</t>
        </is>
      </c>
    </row>
    <row r="5">
      <c r="A5" s="2" t="inlineStr">
        <is>
          <t>LC1005</t>
        </is>
      </c>
      <c r="B5" s="2" t="inlineStr">
        <is>
          <t>Toyota</t>
        </is>
      </c>
      <c r="C5" s="2" t="inlineStr">
        <is>
          <t>UAE</t>
        </is>
      </c>
      <c r="D5" s="2" t="inlineStr">
        <is>
          <t>EUR</t>
        </is>
      </c>
      <c r="E5" s="2" t="n">
        <v>315075</v>
      </c>
      <c r="F5" s="2" t="n">
        <v>317133</v>
      </c>
      <c r="G5" s="2" t="inlineStr">
        <is>
          <t>2026-04-04</t>
        </is>
      </c>
      <c r="H5" s="2" t="n">
        <v>57</v>
      </c>
      <c r="I5" s="2" t="n">
        <v>-14794.05</v>
      </c>
      <c r="J5" s="2" t="inlineStr">
        <is>
          <t>Low</t>
        </is>
      </c>
      <c r="K5" s="2" t="inlineStr">
        <is>
          <t>Overdue</t>
        </is>
      </c>
    </row>
    <row r="6">
      <c r="A6" s="2" t="inlineStr">
        <is>
          <t>LC1006</t>
        </is>
      </c>
      <c r="B6" s="2" t="inlineStr">
        <is>
          <t>Tata</t>
        </is>
      </c>
      <c r="C6" s="2" t="inlineStr">
        <is>
          <t>Brazil</t>
        </is>
      </c>
      <c r="D6" s="2" t="inlineStr">
        <is>
          <t>CNY</t>
        </is>
      </c>
      <c r="E6" s="2" t="n">
        <v>581889</v>
      </c>
      <c r="F6" s="2" t="n">
        <v>720861</v>
      </c>
      <c r="G6" s="2" t="inlineStr">
        <is>
          <t>2026-04-19</t>
        </is>
      </c>
      <c r="H6" s="2" t="n">
        <v>0</v>
      </c>
      <c r="I6" s="2" t="n">
        <v>14762.5</v>
      </c>
      <c r="J6" s="2" t="inlineStr">
        <is>
          <t>Medium</t>
        </is>
      </c>
      <c r="K6" s="2" t="inlineStr">
        <is>
          <t>Overdue</t>
        </is>
      </c>
    </row>
    <row r="7">
      <c r="A7" s="2" t="inlineStr">
        <is>
          <t>LC1007</t>
        </is>
      </c>
      <c r="B7" s="2" t="inlineStr">
        <is>
          <t>Tata</t>
        </is>
      </c>
      <c r="C7" s="2" t="inlineStr">
        <is>
          <t>Nigeria</t>
        </is>
      </c>
      <c r="D7" s="2" t="inlineStr">
        <is>
          <t>AED</t>
        </is>
      </c>
      <c r="E7" s="2" t="n">
        <v>587223</v>
      </c>
      <c r="F7" s="2" t="n">
        <v>669419</v>
      </c>
      <c r="G7" s="2" t="inlineStr">
        <is>
          <t>2026-02-17</t>
        </is>
      </c>
      <c r="H7" s="2" t="n">
        <v>66</v>
      </c>
      <c r="I7" s="2" t="n">
        <v>11967.31</v>
      </c>
      <c r="J7" s="2" t="inlineStr">
        <is>
          <t>High</t>
        </is>
      </c>
      <c r="K7" s="2" t="inlineStr">
        <is>
          <t>Open</t>
        </is>
      </c>
    </row>
    <row r="8">
      <c r="A8" s="2" t="inlineStr">
        <is>
          <t>LC1008</t>
        </is>
      </c>
      <c r="B8" s="2" t="inlineStr">
        <is>
          <t>Nestle</t>
        </is>
      </c>
      <c r="C8" s="2" t="inlineStr">
        <is>
          <t>Brazil</t>
        </is>
      </c>
      <c r="D8" s="2" t="inlineStr">
        <is>
          <t>CNY</t>
        </is>
      </c>
      <c r="E8" s="2" t="n">
        <v>691100</v>
      </c>
      <c r="F8" s="2" t="n">
        <v>744005</v>
      </c>
      <c r="G8" s="2" t="inlineStr">
        <is>
          <t>2026-01-05</t>
        </is>
      </c>
      <c r="H8" s="2" t="n">
        <v>18</v>
      </c>
      <c r="I8" s="2" t="n">
        <v>3063.3</v>
      </c>
      <c r="J8" s="2" t="inlineStr">
        <is>
          <t>Medium</t>
        </is>
      </c>
      <c r="K8" s="2" t="inlineStr">
        <is>
          <t>Settled</t>
        </is>
      </c>
    </row>
    <row r="9">
      <c r="A9" s="2" t="inlineStr">
        <is>
          <t>LC1009</t>
        </is>
      </c>
      <c r="B9" s="2" t="inlineStr">
        <is>
          <t>Samsung</t>
        </is>
      </c>
      <c r="C9" s="2" t="inlineStr">
        <is>
          <t>Brazil</t>
        </is>
      </c>
      <c r="D9" s="2" t="inlineStr">
        <is>
          <t>CNY</t>
        </is>
      </c>
      <c r="E9" s="2" t="n">
        <v>355054</v>
      </c>
      <c r="F9" s="2" t="n">
        <v>667457</v>
      </c>
      <c r="G9" s="2" t="inlineStr">
        <is>
          <t>2026-04-22</t>
        </is>
      </c>
      <c r="H9" s="2" t="n">
        <v>43</v>
      </c>
      <c r="I9" s="2" t="n">
        <v>-13480.34</v>
      </c>
      <c r="J9" s="2" t="inlineStr">
        <is>
          <t>Medium</t>
        </is>
      </c>
      <c r="K9" s="2" t="inlineStr">
        <is>
          <t>Settled</t>
        </is>
      </c>
    </row>
    <row r="10">
      <c r="A10" s="2" t="inlineStr">
        <is>
          <t>LC1010</t>
        </is>
      </c>
      <c r="B10" s="2" t="inlineStr">
        <is>
          <t>Maersk</t>
        </is>
      </c>
      <c r="C10" s="2" t="inlineStr">
        <is>
          <t>Germany</t>
        </is>
      </c>
      <c r="D10" s="2" t="inlineStr">
        <is>
          <t>TRY</t>
        </is>
      </c>
      <c r="E10" s="2" t="n">
        <v>398101</v>
      </c>
      <c r="F10" s="2" t="n">
        <v>212021</v>
      </c>
      <c r="G10" s="2" t="inlineStr">
        <is>
          <t>2026-02-27</t>
        </is>
      </c>
      <c r="H10" s="2" t="n">
        <v>75</v>
      </c>
      <c r="I10" s="2" t="n">
        <v>14454.63</v>
      </c>
      <c r="J10" s="2" t="inlineStr">
        <is>
          <t>Low</t>
        </is>
      </c>
      <c r="K10" s="2" t="inlineStr">
        <is>
          <t>Settled</t>
        </is>
      </c>
    </row>
    <row r="11">
      <c r="A11" s="2" t="inlineStr">
        <is>
          <t>LC1011</t>
        </is>
      </c>
      <c r="B11" s="2" t="inlineStr">
        <is>
          <t>Shell</t>
        </is>
      </c>
      <c r="C11" s="2" t="inlineStr">
        <is>
          <t>Turkey</t>
        </is>
      </c>
      <c r="D11" s="2" t="inlineStr">
        <is>
          <t>BRL</t>
        </is>
      </c>
      <c r="E11" s="2" t="n">
        <v>482313</v>
      </c>
      <c r="F11" s="2" t="n">
        <v>782066</v>
      </c>
      <c r="G11" s="2" t="inlineStr">
        <is>
          <t>2026-01-15</t>
        </is>
      </c>
      <c r="H11" s="2" t="n">
        <v>54</v>
      </c>
      <c r="I11" s="2" t="n">
        <v>-7391.07</v>
      </c>
      <c r="J11" s="2" t="inlineStr">
        <is>
          <t>High</t>
        </is>
      </c>
      <c r="K11" s="2" t="inlineStr">
        <is>
          <t>Settled</t>
        </is>
      </c>
    </row>
    <row r="12">
      <c r="A12" s="2" t="inlineStr">
        <is>
          <t>LC1012</t>
        </is>
      </c>
      <c r="B12" s="2" t="inlineStr">
        <is>
          <t>Samsung</t>
        </is>
      </c>
      <c r="C12" s="2" t="inlineStr">
        <is>
          <t>Germany</t>
        </is>
      </c>
      <c r="D12" s="2" t="inlineStr">
        <is>
          <t>EUR</t>
        </is>
      </c>
      <c r="E12" s="2" t="n">
        <v>104116</v>
      </c>
      <c r="F12" s="2" t="n">
        <v>275398</v>
      </c>
      <c r="G12" s="2" t="inlineStr">
        <is>
          <t>2026-04-20</t>
        </is>
      </c>
      <c r="H12" s="2" t="n">
        <v>6</v>
      </c>
      <c r="I12" s="2" t="n">
        <v>16707.69</v>
      </c>
      <c r="J12" s="2" t="inlineStr">
        <is>
          <t>Low</t>
        </is>
      </c>
      <c r="K12" s="2" t="inlineStr">
        <is>
          <t>Overdue</t>
        </is>
      </c>
    </row>
    <row r="13">
      <c r="A13" s="2" t="inlineStr">
        <is>
          <t>LC1013</t>
        </is>
      </c>
      <c r="B13" s="2" t="inlineStr">
        <is>
          <t>Tata</t>
        </is>
      </c>
      <c r="C13" s="2" t="inlineStr">
        <is>
          <t>Brazil</t>
        </is>
      </c>
      <c r="D13" s="2" t="inlineStr">
        <is>
          <t>BRL</t>
        </is>
      </c>
      <c r="E13" s="2" t="n">
        <v>298068</v>
      </c>
      <c r="F13" s="2" t="n">
        <v>650085</v>
      </c>
      <c r="G13" s="2" t="inlineStr">
        <is>
          <t>2026-01-10</t>
        </is>
      </c>
      <c r="H13" s="2" t="n">
        <v>49</v>
      </c>
      <c r="I13" s="2" t="n">
        <v>-9693.639999999999</v>
      </c>
      <c r="J13" s="2" t="inlineStr">
        <is>
          <t>Medium</t>
        </is>
      </c>
      <c r="K13" s="2" t="inlineStr">
        <is>
          <t>Open</t>
        </is>
      </c>
    </row>
    <row r="14">
      <c r="A14" s="2" t="inlineStr">
        <is>
          <t>LC1014</t>
        </is>
      </c>
      <c r="B14" s="2" t="inlineStr">
        <is>
          <t>Maersk</t>
        </is>
      </c>
      <c r="C14" s="2" t="inlineStr">
        <is>
          <t>Turkey</t>
        </is>
      </c>
      <c r="D14" s="2" t="inlineStr">
        <is>
          <t>JPY</t>
        </is>
      </c>
      <c r="E14" s="2" t="n">
        <v>248557</v>
      </c>
      <c r="F14" s="2" t="n">
        <v>629738</v>
      </c>
      <c r="G14" s="2" t="inlineStr">
        <is>
          <t>2026-02-13</t>
        </is>
      </c>
      <c r="H14" s="2" t="n">
        <v>6</v>
      </c>
      <c r="I14" s="2" t="n">
        <v>7856.12</v>
      </c>
      <c r="J14" s="2" t="inlineStr">
        <is>
          <t>High</t>
        </is>
      </c>
      <c r="K14" s="2" t="inlineStr">
        <is>
          <t>Settled</t>
        </is>
      </c>
    </row>
    <row r="15">
      <c r="A15" s="2" t="inlineStr">
        <is>
          <t>LC1015</t>
        </is>
      </c>
      <c r="B15" s="2" t="inlineStr">
        <is>
          <t>Toyota</t>
        </is>
      </c>
      <c r="C15" s="2" t="inlineStr">
        <is>
          <t>China</t>
        </is>
      </c>
      <c r="D15" s="2" t="inlineStr">
        <is>
          <t>BRL</t>
        </is>
      </c>
      <c r="E15" s="2" t="n">
        <v>687561</v>
      </c>
      <c r="F15" s="2" t="n">
        <v>169875</v>
      </c>
      <c r="G15" s="2" t="inlineStr">
        <is>
          <t>2026-01-30</t>
        </is>
      </c>
      <c r="H15" s="2" t="n">
        <v>0</v>
      </c>
      <c r="I15" s="2" t="n">
        <v>9518.6</v>
      </c>
      <c r="J15" s="2" t="inlineStr">
        <is>
          <t>Medium</t>
        </is>
      </c>
      <c r="K15" s="2" t="inlineStr">
        <is>
          <t>Overdue</t>
        </is>
      </c>
    </row>
    <row r="16">
      <c r="A16" s="2" t="inlineStr">
        <is>
          <t>LC1016</t>
        </is>
      </c>
      <c r="B16" s="2" t="inlineStr">
        <is>
          <t>Nestle</t>
        </is>
      </c>
      <c r="C16" s="2" t="inlineStr">
        <is>
          <t>UAE</t>
        </is>
      </c>
      <c r="D16" s="2" t="inlineStr">
        <is>
          <t>CNY</t>
        </is>
      </c>
      <c r="E16" s="2" t="n">
        <v>624333</v>
      </c>
      <c r="F16" s="2" t="n">
        <v>532903</v>
      </c>
      <c r="G16" s="2" t="inlineStr">
        <is>
          <t>2026-04-24</t>
        </is>
      </c>
      <c r="H16" s="2" t="n">
        <v>2</v>
      </c>
      <c r="I16" s="2" t="n">
        <v>-10865.55</v>
      </c>
      <c r="J16" s="2" t="inlineStr">
        <is>
          <t>Low</t>
        </is>
      </c>
      <c r="K16" s="2" t="inlineStr">
        <is>
          <t>Settled</t>
        </is>
      </c>
    </row>
    <row r="17">
      <c r="A17" s="2" t="inlineStr">
        <is>
          <t>LC1017</t>
        </is>
      </c>
      <c r="B17" s="2" t="inlineStr">
        <is>
          <t>Siemens</t>
        </is>
      </c>
      <c r="C17" s="2" t="inlineStr">
        <is>
          <t>UAE</t>
        </is>
      </c>
      <c r="D17" s="2" t="inlineStr">
        <is>
          <t>EUR</t>
        </is>
      </c>
      <c r="E17" s="2" t="n">
        <v>274344</v>
      </c>
      <c r="F17" s="2" t="n">
        <v>408774</v>
      </c>
      <c r="G17" s="2" t="inlineStr">
        <is>
          <t>2026-04-19</t>
        </is>
      </c>
      <c r="H17" s="2" t="n">
        <v>88</v>
      </c>
      <c r="I17" s="2" t="n">
        <v>-11546.81</v>
      </c>
      <c r="J17" s="2" t="inlineStr">
        <is>
          <t>Low</t>
        </is>
      </c>
      <c r="K17" s="2" t="inlineStr">
        <is>
          <t>Open</t>
        </is>
      </c>
    </row>
    <row r="18">
      <c r="A18" s="2" t="inlineStr">
        <is>
          <t>LC1018</t>
        </is>
      </c>
      <c r="B18" s="2" t="inlineStr">
        <is>
          <t>Siemens</t>
        </is>
      </c>
      <c r="C18" s="2" t="inlineStr">
        <is>
          <t>Indonesia</t>
        </is>
      </c>
      <c r="D18" s="2" t="inlineStr">
        <is>
          <t>CNY</t>
        </is>
      </c>
      <c r="E18" s="2" t="n">
        <v>301548</v>
      </c>
      <c r="F18" s="2" t="n">
        <v>369313</v>
      </c>
      <c r="G18" s="2" t="inlineStr">
        <is>
          <t>2026-04-29</t>
        </is>
      </c>
      <c r="H18" s="2" t="n">
        <v>0</v>
      </c>
      <c r="I18" s="2" t="n">
        <v>-24730.3</v>
      </c>
      <c r="J18" s="2" t="inlineStr">
        <is>
          <t>Medium</t>
        </is>
      </c>
      <c r="K18" s="2" t="inlineStr">
        <is>
          <t>Settled</t>
        </is>
      </c>
    </row>
    <row r="19">
      <c r="A19" s="2" t="inlineStr">
        <is>
          <t>LC1019</t>
        </is>
      </c>
      <c r="B19" s="2" t="inlineStr">
        <is>
          <t>Maersk</t>
        </is>
      </c>
      <c r="C19" s="2" t="inlineStr">
        <is>
          <t>Turkey</t>
        </is>
      </c>
      <c r="D19" s="2" t="inlineStr">
        <is>
          <t>EUR</t>
        </is>
      </c>
      <c r="E19" s="2" t="n">
        <v>699162</v>
      </c>
      <c r="F19" s="2" t="n">
        <v>56220</v>
      </c>
      <c r="G19" s="2" t="inlineStr">
        <is>
          <t>2026-02-15</t>
        </is>
      </c>
      <c r="H19" s="2" t="n">
        <v>21</v>
      </c>
      <c r="I19" s="2" t="n">
        <v>628.23</v>
      </c>
      <c r="J19" s="2" t="inlineStr">
        <is>
          <t>High</t>
        </is>
      </c>
      <c r="K19" s="2" t="inlineStr">
        <is>
          <t>Open</t>
        </is>
      </c>
    </row>
    <row r="20">
      <c r="A20" s="2" t="inlineStr">
        <is>
          <t>LC1020</t>
        </is>
      </c>
      <c r="B20" s="2" t="inlineStr">
        <is>
          <t>Tata</t>
        </is>
      </c>
      <c r="C20" s="2" t="inlineStr">
        <is>
          <t>Nigeria</t>
        </is>
      </c>
      <c r="D20" s="2" t="inlineStr">
        <is>
          <t>AED</t>
        </is>
      </c>
      <c r="E20" s="2" t="n">
        <v>103139</v>
      </c>
      <c r="F20" s="2" t="n">
        <v>671225</v>
      </c>
      <c r="G20" s="2" t="inlineStr">
        <is>
          <t>2026-03-20</t>
        </is>
      </c>
      <c r="H20" s="2" t="n">
        <v>43</v>
      </c>
      <c r="I20" s="2" t="n">
        <v>9083.6</v>
      </c>
      <c r="J20" s="2" t="inlineStr">
        <is>
          <t>High</t>
        </is>
      </c>
      <c r="K20" s="2" t="inlineStr">
        <is>
          <t>Settled</t>
        </is>
      </c>
    </row>
    <row r="21">
      <c r="A21" s="2" t="inlineStr">
        <is>
          <t>LC1021</t>
        </is>
      </c>
      <c r="B21" s="2" t="inlineStr">
        <is>
          <t>Samsung</t>
        </is>
      </c>
      <c r="C21" s="2" t="inlineStr">
        <is>
          <t>Indonesia</t>
        </is>
      </c>
      <c r="D21" s="2" t="inlineStr">
        <is>
          <t>BRL</t>
        </is>
      </c>
      <c r="E21" s="2" t="n">
        <v>344803</v>
      </c>
      <c r="F21" s="2" t="n">
        <v>499328</v>
      </c>
      <c r="G21" s="2" t="inlineStr">
        <is>
          <t>2026-02-25</t>
        </is>
      </c>
      <c r="H21" s="2" t="n">
        <v>5</v>
      </c>
      <c r="I21" s="2" t="n">
        <v>15354.1</v>
      </c>
      <c r="J21" s="2" t="inlineStr">
        <is>
          <t>Medium</t>
        </is>
      </c>
      <c r="K21" s="2" t="inlineStr">
        <is>
          <t>Open</t>
        </is>
      </c>
    </row>
    <row r="22">
      <c r="A22" s="2" t="inlineStr">
        <is>
          <t>LC1022</t>
        </is>
      </c>
      <c r="B22" s="2" t="inlineStr">
        <is>
          <t>Toyota</t>
        </is>
      </c>
      <c r="C22" s="2" t="inlineStr">
        <is>
          <t>Germany</t>
        </is>
      </c>
      <c r="D22" s="2" t="inlineStr">
        <is>
          <t>BRL</t>
        </is>
      </c>
      <c r="E22" s="2" t="n">
        <v>177943</v>
      </c>
      <c r="F22" s="2" t="n">
        <v>786424</v>
      </c>
      <c r="G22" s="2" t="inlineStr">
        <is>
          <t>2026-04-29</t>
        </is>
      </c>
      <c r="H22" s="2" t="n">
        <v>76</v>
      </c>
      <c r="I22" s="2" t="n">
        <v>22039.78</v>
      </c>
      <c r="J22" s="2" t="inlineStr">
        <is>
          <t>Low</t>
        </is>
      </c>
      <c r="K22" s="2" t="inlineStr">
        <is>
          <t>Open</t>
        </is>
      </c>
    </row>
    <row r="23">
      <c r="A23" s="2" t="inlineStr">
        <is>
          <t>LC1023</t>
        </is>
      </c>
      <c r="B23" s="2" t="inlineStr">
        <is>
          <t>Shell</t>
        </is>
      </c>
      <c r="C23" s="2" t="inlineStr">
        <is>
          <t>Nigeria</t>
        </is>
      </c>
      <c r="D23" s="2" t="inlineStr">
        <is>
          <t>EUR</t>
        </is>
      </c>
      <c r="E23" s="2" t="n">
        <v>213227</v>
      </c>
      <c r="F23" s="2" t="n">
        <v>736769</v>
      </c>
      <c r="G23" s="2" t="inlineStr">
        <is>
          <t>2026-02-03</t>
        </is>
      </c>
      <c r="H23" s="2" t="n">
        <v>28</v>
      </c>
      <c r="I23" s="2" t="n">
        <v>16205.59</v>
      </c>
      <c r="J23" s="2" t="inlineStr">
        <is>
          <t>High</t>
        </is>
      </c>
      <c r="K23" s="2" t="inlineStr">
        <is>
          <t>Overdue</t>
        </is>
      </c>
    </row>
    <row r="24">
      <c r="A24" s="2" t="inlineStr">
        <is>
          <t>LC1024</t>
        </is>
      </c>
      <c r="B24" s="2" t="inlineStr">
        <is>
          <t>Shell</t>
        </is>
      </c>
      <c r="C24" s="2" t="inlineStr">
        <is>
          <t>Brazil</t>
        </is>
      </c>
      <c r="D24" s="2" t="inlineStr">
        <is>
          <t>CNY</t>
        </is>
      </c>
      <c r="E24" s="2" t="n">
        <v>698957</v>
      </c>
      <c r="F24" s="2" t="n">
        <v>763032</v>
      </c>
      <c r="G24" s="2" t="inlineStr">
        <is>
          <t>2026-04-09</t>
        </is>
      </c>
      <c r="H24" s="2" t="n">
        <v>3</v>
      </c>
      <c r="I24" s="2" t="n">
        <v>-5173.12</v>
      </c>
      <c r="J24" s="2" t="inlineStr">
        <is>
          <t>Medium</t>
        </is>
      </c>
      <c r="K24" s="2" t="inlineStr">
        <is>
          <t>Overdue</t>
        </is>
      </c>
    </row>
    <row r="25">
      <c r="A25" s="2" t="inlineStr">
        <is>
          <t>LC1025</t>
        </is>
      </c>
      <c r="B25" s="2" t="inlineStr">
        <is>
          <t>Maersk</t>
        </is>
      </c>
      <c r="C25" s="2" t="inlineStr">
        <is>
          <t>China</t>
        </is>
      </c>
      <c r="D25" s="2" t="inlineStr">
        <is>
          <t>AED</t>
        </is>
      </c>
      <c r="E25" s="2" t="n">
        <v>570239</v>
      </c>
      <c r="F25" s="2" t="n">
        <v>389169</v>
      </c>
      <c r="G25" s="2" t="inlineStr">
        <is>
          <t>2026-04-16</t>
        </is>
      </c>
      <c r="H25" s="2" t="n">
        <v>73</v>
      </c>
      <c r="I25" s="2" t="n">
        <v>14410.69</v>
      </c>
      <c r="J25" s="2" t="inlineStr">
        <is>
          <t>Medium</t>
        </is>
      </c>
      <c r="K25" s="2" t="inlineStr">
        <is>
          <t>Overdue</t>
        </is>
      </c>
    </row>
    <row r="26">
      <c r="A26" s="2" t="inlineStr">
        <is>
          <t>LC1026</t>
        </is>
      </c>
      <c r="B26" s="2" t="inlineStr">
        <is>
          <t>Tata</t>
        </is>
      </c>
      <c r="C26" s="2" t="inlineStr">
        <is>
          <t>Germany</t>
        </is>
      </c>
      <c r="D26" s="2" t="inlineStr">
        <is>
          <t>BRL</t>
        </is>
      </c>
      <c r="E26" s="2" t="n">
        <v>263775</v>
      </c>
      <c r="F26" s="2" t="n">
        <v>321459</v>
      </c>
      <c r="G26" s="2" t="inlineStr">
        <is>
          <t>2026-04-15</t>
        </is>
      </c>
      <c r="H26" s="2" t="n">
        <v>2</v>
      </c>
      <c r="I26" s="2" t="n">
        <v>-15069.1</v>
      </c>
      <c r="J26" s="2" t="inlineStr">
        <is>
          <t>Low</t>
        </is>
      </c>
      <c r="K26" s="2" t="inlineStr">
        <is>
          <t>Open</t>
        </is>
      </c>
    </row>
    <row r="27">
      <c r="A27" s="2" t="inlineStr">
        <is>
          <t>LC1027</t>
        </is>
      </c>
      <c r="B27" s="2" t="inlineStr">
        <is>
          <t>Siemens</t>
        </is>
      </c>
      <c r="C27" s="2" t="inlineStr">
        <is>
          <t>China</t>
        </is>
      </c>
      <c r="D27" s="2" t="inlineStr">
        <is>
          <t>CNY</t>
        </is>
      </c>
      <c r="E27" s="2" t="n">
        <v>218271</v>
      </c>
      <c r="F27" s="2" t="n">
        <v>144156</v>
      </c>
      <c r="G27" s="2" t="inlineStr">
        <is>
          <t>2026-04-11</t>
        </is>
      </c>
      <c r="H27" s="2" t="n">
        <v>0</v>
      </c>
      <c r="I27" s="2" t="n">
        <v>23693.49</v>
      </c>
      <c r="J27" s="2" t="inlineStr">
        <is>
          <t>Medium</t>
        </is>
      </c>
      <c r="K27" s="2" t="inlineStr">
        <is>
          <t>Overdue</t>
        </is>
      </c>
    </row>
    <row r="28">
      <c r="A28" s="2" t="inlineStr">
        <is>
          <t>LC1028</t>
        </is>
      </c>
      <c r="B28" s="2" t="inlineStr">
        <is>
          <t>Tata</t>
        </is>
      </c>
      <c r="C28" s="2" t="inlineStr">
        <is>
          <t>Germany</t>
        </is>
      </c>
      <c r="D28" s="2" t="inlineStr">
        <is>
          <t>AED</t>
        </is>
      </c>
      <c r="E28" s="2" t="n">
        <v>537624</v>
      </c>
      <c r="F28" s="2" t="n">
        <v>505549</v>
      </c>
      <c r="G28" s="2" t="inlineStr">
        <is>
          <t>2026-03-05</t>
        </is>
      </c>
      <c r="H28" s="2" t="n">
        <v>0</v>
      </c>
      <c r="I28" s="2" t="n">
        <v>-14129.5</v>
      </c>
      <c r="J28" s="2" t="inlineStr">
        <is>
          <t>Low</t>
        </is>
      </c>
      <c r="K28" s="2" t="inlineStr">
        <is>
          <t>Open</t>
        </is>
      </c>
    </row>
    <row r="29">
      <c r="A29" s="2" t="inlineStr">
        <is>
          <t>LC1029</t>
        </is>
      </c>
      <c r="B29" s="2" t="inlineStr">
        <is>
          <t>Tata</t>
        </is>
      </c>
      <c r="C29" s="2" t="inlineStr">
        <is>
          <t>China</t>
        </is>
      </c>
      <c r="D29" s="2" t="inlineStr">
        <is>
          <t>EUR</t>
        </is>
      </c>
      <c r="E29" s="2" t="n">
        <v>532217</v>
      </c>
      <c r="F29" s="2" t="n">
        <v>627490</v>
      </c>
      <c r="G29" s="2" t="inlineStr">
        <is>
          <t>2026-01-23</t>
        </is>
      </c>
      <c r="H29" s="2" t="n">
        <v>80</v>
      </c>
      <c r="I29" s="2" t="n">
        <v>13552.95</v>
      </c>
      <c r="J29" s="2" t="inlineStr">
        <is>
          <t>Medium</t>
        </is>
      </c>
      <c r="K29" s="2" t="inlineStr">
        <is>
          <t>Settled</t>
        </is>
      </c>
    </row>
    <row r="30">
      <c r="A30" s="2" t="inlineStr">
        <is>
          <t>LC1030</t>
        </is>
      </c>
      <c r="B30" s="2" t="inlineStr">
        <is>
          <t>Shell</t>
        </is>
      </c>
      <c r="C30" s="2" t="inlineStr">
        <is>
          <t>Indonesia</t>
        </is>
      </c>
      <c r="D30" s="2" t="inlineStr">
        <is>
          <t>JPY</t>
        </is>
      </c>
      <c r="E30" s="2" t="n">
        <v>326960</v>
      </c>
      <c r="F30" s="2" t="n">
        <v>596574</v>
      </c>
      <c r="G30" s="2" t="inlineStr">
        <is>
          <t>2026-03-03</t>
        </is>
      </c>
      <c r="H30" s="2" t="n">
        <v>54</v>
      </c>
      <c r="I30" s="2" t="n">
        <v>22690.39</v>
      </c>
      <c r="J30" s="2" t="inlineStr">
        <is>
          <t>Medium</t>
        </is>
      </c>
      <c r="K30" s="2" t="inlineStr">
        <is>
          <t>Overdue</t>
        </is>
      </c>
    </row>
    <row r="31">
      <c r="A31" s="2" t="inlineStr">
        <is>
          <t>LC1031</t>
        </is>
      </c>
      <c r="B31" s="2" t="inlineStr">
        <is>
          <t>Shell</t>
        </is>
      </c>
      <c r="C31" s="2" t="inlineStr">
        <is>
          <t>UAE</t>
        </is>
      </c>
      <c r="D31" s="2" t="inlineStr">
        <is>
          <t>TRY</t>
        </is>
      </c>
      <c r="E31" s="2" t="n">
        <v>447539</v>
      </c>
      <c r="F31" s="2" t="n">
        <v>192834</v>
      </c>
      <c r="G31" s="2" t="inlineStr">
        <is>
          <t>2026-02-24</t>
        </is>
      </c>
      <c r="H31" s="2" t="n">
        <v>0</v>
      </c>
      <c r="I31" s="2" t="n">
        <v>23868.1</v>
      </c>
      <c r="J31" s="2" t="inlineStr">
        <is>
          <t>Low</t>
        </is>
      </c>
      <c r="K31" s="2" t="inlineStr">
        <is>
          <t>Overdue</t>
        </is>
      </c>
    </row>
    <row r="32">
      <c r="A32" s="2" t="inlineStr">
        <is>
          <t>LC1032</t>
        </is>
      </c>
      <c r="B32" s="2" t="inlineStr">
        <is>
          <t>Nestle</t>
        </is>
      </c>
      <c r="C32" s="2" t="inlineStr">
        <is>
          <t>Turkey</t>
        </is>
      </c>
      <c r="D32" s="2" t="inlineStr">
        <is>
          <t>EUR</t>
        </is>
      </c>
      <c r="E32" s="2" t="n">
        <v>511315</v>
      </c>
      <c r="F32" s="2" t="n">
        <v>799649</v>
      </c>
      <c r="G32" s="2" t="inlineStr">
        <is>
          <t>2026-02-05</t>
        </is>
      </c>
      <c r="H32" s="2" t="n">
        <v>79</v>
      </c>
      <c r="I32" s="2" t="n">
        <v>-300.99</v>
      </c>
      <c r="J32" s="2" t="inlineStr">
        <is>
          <t>High</t>
        </is>
      </c>
      <c r="K32" s="2" t="inlineStr">
        <is>
          <t>Settled</t>
        </is>
      </c>
    </row>
    <row r="33">
      <c r="A33" s="2" t="inlineStr">
        <is>
          <t>LC1033</t>
        </is>
      </c>
      <c r="B33" s="2" t="inlineStr">
        <is>
          <t>Nestle</t>
        </is>
      </c>
      <c r="C33" s="2" t="inlineStr">
        <is>
          <t>Germany</t>
        </is>
      </c>
      <c r="D33" s="2" t="inlineStr">
        <is>
          <t>BRL</t>
        </is>
      </c>
      <c r="E33" s="2" t="n">
        <v>90939</v>
      </c>
      <c r="F33" s="2" t="n">
        <v>273841</v>
      </c>
      <c r="G33" s="2" t="inlineStr">
        <is>
          <t>2026-03-04</t>
        </is>
      </c>
      <c r="H33" s="2" t="n">
        <v>6</v>
      </c>
      <c r="I33" s="2" t="n">
        <v>-11060.79</v>
      </c>
      <c r="J33" s="2" t="inlineStr">
        <is>
          <t>Low</t>
        </is>
      </c>
      <c r="K33" s="2" t="inlineStr">
        <is>
          <t>Open</t>
        </is>
      </c>
    </row>
    <row r="34">
      <c r="A34" s="2" t="inlineStr">
        <is>
          <t>LC1034</t>
        </is>
      </c>
      <c r="B34" s="2" t="inlineStr">
        <is>
          <t>Toyota</t>
        </is>
      </c>
      <c r="C34" s="2" t="inlineStr">
        <is>
          <t>Turkey</t>
        </is>
      </c>
      <c r="D34" s="2" t="inlineStr">
        <is>
          <t>TRY</t>
        </is>
      </c>
      <c r="E34" s="2" t="n">
        <v>111750</v>
      </c>
      <c r="F34" s="2" t="n">
        <v>267273</v>
      </c>
      <c r="G34" s="2" t="inlineStr">
        <is>
          <t>2026-04-01</t>
        </is>
      </c>
      <c r="H34" s="2" t="n">
        <v>19</v>
      </c>
      <c r="I34" s="2" t="n">
        <v>-8996.040000000001</v>
      </c>
      <c r="J34" s="2" t="inlineStr">
        <is>
          <t>High</t>
        </is>
      </c>
      <c r="K34" s="2" t="inlineStr">
        <is>
          <t>Overdue</t>
        </is>
      </c>
    </row>
    <row r="35">
      <c r="A35" s="2" t="inlineStr">
        <is>
          <t>LC1035</t>
        </is>
      </c>
      <c r="B35" s="2" t="inlineStr">
        <is>
          <t>Tata</t>
        </is>
      </c>
      <c r="C35" s="2" t="inlineStr">
        <is>
          <t>Indonesia</t>
        </is>
      </c>
      <c r="D35" s="2" t="inlineStr">
        <is>
          <t>TRY</t>
        </is>
      </c>
      <c r="E35" s="2" t="n">
        <v>387988</v>
      </c>
      <c r="F35" s="2" t="n">
        <v>272100</v>
      </c>
      <c r="G35" s="2" t="inlineStr">
        <is>
          <t>2026-02-26</t>
        </is>
      </c>
      <c r="H35" s="2" t="n">
        <v>70</v>
      </c>
      <c r="I35" s="2" t="n">
        <v>-6571.79</v>
      </c>
      <c r="J35" s="2" t="inlineStr">
        <is>
          <t>Medium</t>
        </is>
      </c>
      <c r="K35" s="2" t="inlineStr">
        <is>
          <t>Open</t>
        </is>
      </c>
    </row>
    <row r="36">
      <c r="A36" s="2" t="inlineStr">
        <is>
          <t>LC1036</t>
        </is>
      </c>
      <c r="B36" s="2" t="inlineStr">
        <is>
          <t>Tata</t>
        </is>
      </c>
      <c r="C36" s="2" t="inlineStr">
        <is>
          <t>Germany</t>
        </is>
      </c>
      <c r="D36" s="2" t="inlineStr">
        <is>
          <t>CNY</t>
        </is>
      </c>
      <c r="E36" s="2" t="n">
        <v>475808</v>
      </c>
      <c r="F36" s="2" t="n">
        <v>535243</v>
      </c>
      <c r="G36" s="2" t="inlineStr">
        <is>
          <t>2026-03-31</t>
        </is>
      </c>
      <c r="H36" s="2" t="n">
        <v>6</v>
      </c>
      <c r="I36" s="2" t="n">
        <v>20743.77</v>
      </c>
      <c r="J36" s="2" t="inlineStr">
        <is>
          <t>Low</t>
        </is>
      </c>
      <c r="K36" s="2" t="inlineStr">
        <is>
          <t>Settled</t>
        </is>
      </c>
    </row>
    <row r="37">
      <c r="A37" s="2" t="inlineStr">
        <is>
          <t>LC1037</t>
        </is>
      </c>
      <c r="B37" s="2" t="inlineStr">
        <is>
          <t>Tata</t>
        </is>
      </c>
      <c r="C37" s="2" t="inlineStr">
        <is>
          <t>UAE</t>
        </is>
      </c>
      <c r="D37" s="2" t="inlineStr">
        <is>
          <t>EUR</t>
        </is>
      </c>
      <c r="E37" s="2" t="n">
        <v>317943</v>
      </c>
      <c r="F37" s="2" t="n">
        <v>667912</v>
      </c>
      <c r="G37" s="2" t="inlineStr">
        <is>
          <t>2026-04-16</t>
        </is>
      </c>
      <c r="H37" s="2" t="n">
        <v>47</v>
      </c>
      <c r="I37" s="2" t="n">
        <v>-19305.57</v>
      </c>
      <c r="J37" s="2" t="inlineStr">
        <is>
          <t>Low</t>
        </is>
      </c>
      <c r="K37" s="2" t="inlineStr">
        <is>
          <t>Open</t>
        </is>
      </c>
    </row>
    <row r="38">
      <c r="A38" s="2" t="inlineStr">
        <is>
          <t>LC1038</t>
        </is>
      </c>
      <c r="B38" s="2" t="inlineStr">
        <is>
          <t>Tata</t>
        </is>
      </c>
      <c r="C38" s="2" t="inlineStr">
        <is>
          <t>Turkey</t>
        </is>
      </c>
      <c r="D38" s="2" t="inlineStr">
        <is>
          <t>EUR</t>
        </is>
      </c>
      <c r="E38" s="2" t="n">
        <v>630268</v>
      </c>
      <c r="F38" s="2" t="n">
        <v>573738</v>
      </c>
      <c r="G38" s="2" t="inlineStr">
        <is>
          <t>2026-02-02</t>
        </is>
      </c>
      <c r="H38" s="2" t="n">
        <v>38</v>
      </c>
      <c r="I38" s="2" t="n">
        <v>4583.82</v>
      </c>
      <c r="J38" s="2" t="inlineStr">
        <is>
          <t>High</t>
        </is>
      </c>
      <c r="K38" s="2" t="inlineStr">
        <is>
          <t>Overdue</t>
        </is>
      </c>
    </row>
    <row r="39">
      <c r="A39" s="2" t="inlineStr">
        <is>
          <t>LC1039</t>
        </is>
      </c>
      <c r="B39" s="2" t="inlineStr">
        <is>
          <t>Nestle</t>
        </is>
      </c>
      <c r="C39" s="2" t="inlineStr">
        <is>
          <t>Indonesia</t>
        </is>
      </c>
      <c r="D39" s="2" t="inlineStr">
        <is>
          <t>CNY</t>
        </is>
      </c>
      <c r="E39" s="2" t="n">
        <v>151946</v>
      </c>
      <c r="F39" s="2" t="n">
        <v>311470</v>
      </c>
      <c r="G39" s="2" t="inlineStr">
        <is>
          <t>2026-03-11</t>
        </is>
      </c>
      <c r="H39" s="2" t="n">
        <v>86</v>
      </c>
      <c r="I39" s="2" t="n">
        <v>3738.32</v>
      </c>
      <c r="J39" s="2" t="inlineStr">
        <is>
          <t>Medium</t>
        </is>
      </c>
      <c r="K39" s="2" t="inlineStr">
        <is>
          <t>Overdue</t>
        </is>
      </c>
    </row>
    <row r="40">
      <c r="A40" s="2" t="inlineStr">
        <is>
          <t>LC1040</t>
        </is>
      </c>
      <c r="B40" s="2" t="inlineStr">
        <is>
          <t>Toyota</t>
        </is>
      </c>
      <c r="C40" s="2" t="inlineStr">
        <is>
          <t>UAE</t>
        </is>
      </c>
      <c r="D40" s="2" t="inlineStr">
        <is>
          <t>JPY</t>
        </is>
      </c>
      <c r="E40" s="2" t="n">
        <v>556965</v>
      </c>
      <c r="F40" s="2" t="n">
        <v>335882</v>
      </c>
      <c r="G40" s="2" t="inlineStr">
        <is>
          <t>2026-01-13</t>
        </is>
      </c>
      <c r="H40" s="2" t="n">
        <v>0</v>
      </c>
      <c r="I40" s="2" t="n">
        <v>-16616.78</v>
      </c>
      <c r="J40" s="2" t="inlineStr">
        <is>
          <t>Low</t>
        </is>
      </c>
      <c r="K40" s="2" t="inlineStr">
        <is>
          <t>Overdue</t>
        </is>
      </c>
    </row>
    <row r="41">
      <c r="A41" s="2" t="inlineStr">
        <is>
          <t>LC1041</t>
        </is>
      </c>
      <c r="B41" s="2" t="inlineStr">
        <is>
          <t>Nestle</t>
        </is>
      </c>
      <c r="C41" s="2" t="inlineStr">
        <is>
          <t>Turkey</t>
        </is>
      </c>
      <c r="D41" s="2" t="inlineStr">
        <is>
          <t>BRL</t>
        </is>
      </c>
      <c r="E41" s="2" t="n">
        <v>666765</v>
      </c>
      <c r="F41" s="2" t="n">
        <v>507994</v>
      </c>
      <c r="G41" s="2" t="inlineStr">
        <is>
          <t>2026-03-01</t>
        </is>
      </c>
      <c r="H41" s="2" t="n">
        <v>73</v>
      </c>
      <c r="I41" s="2" t="n">
        <v>-21603.93</v>
      </c>
      <c r="J41" s="2" t="inlineStr">
        <is>
          <t>High</t>
        </is>
      </c>
      <c r="K41" s="2" t="inlineStr">
        <is>
          <t>Settled</t>
        </is>
      </c>
    </row>
    <row r="42">
      <c r="A42" s="2" t="inlineStr">
        <is>
          <t>LC1042</t>
        </is>
      </c>
      <c r="B42" s="2" t="inlineStr">
        <is>
          <t>Nestle</t>
        </is>
      </c>
      <c r="C42" s="2" t="inlineStr">
        <is>
          <t>Germany</t>
        </is>
      </c>
      <c r="D42" s="2" t="inlineStr">
        <is>
          <t>CNY</t>
        </is>
      </c>
      <c r="E42" s="2" t="n">
        <v>264746</v>
      </c>
      <c r="F42" s="2" t="n">
        <v>145224</v>
      </c>
      <c r="G42" s="2" t="inlineStr">
        <is>
          <t>2026-03-03</t>
        </is>
      </c>
      <c r="H42" s="2" t="n">
        <v>78</v>
      </c>
      <c r="I42" s="2" t="n">
        <v>19342.57</v>
      </c>
      <c r="J42" s="2" t="inlineStr">
        <is>
          <t>Low</t>
        </is>
      </c>
      <c r="K42" s="2" t="inlineStr">
        <is>
          <t>Open</t>
        </is>
      </c>
    </row>
    <row r="43">
      <c r="A43" s="2" t="inlineStr">
        <is>
          <t>LC1043</t>
        </is>
      </c>
      <c r="B43" s="2" t="inlineStr">
        <is>
          <t>Nestle</t>
        </is>
      </c>
      <c r="C43" s="2" t="inlineStr">
        <is>
          <t>Nigeria</t>
        </is>
      </c>
      <c r="D43" s="2" t="inlineStr">
        <is>
          <t>EUR</t>
        </is>
      </c>
      <c r="E43" s="2" t="n">
        <v>250133</v>
      </c>
      <c r="F43" s="2" t="n">
        <v>760009</v>
      </c>
      <c r="G43" s="2" t="inlineStr">
        <is>
          <t>2026-04-28</t>
        </is>
      </c>
      <c r="H43" s="2" t="n">
        <v>60</v>
      </c>
      <c r="I43" s="2" t="n">
        <v>-200.66</v>
      </c>
      <c r="J43" s="2" t="inlineStr">
        <is>
          <t>High</t>
        </is>
      </c>
      <c r="K43" s="2" t="inlineStr">
        <is>
          <t>Settled</t>
        </is>
      </c>
    </row>
    <row r="44">
      <c r="A44" s="2" t="inlineStr">
        <is>
          <t>LC1044</t>
        </is>
      </c>
      <c r="B44" s="2" t="inlineStr">
        <is>
          <t>Toyota</t>
        </is>
      </c>
      <c r="C44" s="2" t="inlineStr">
        <is>
          <t>Turkey</t>
        </is>
      </c>
      <c r="D44" s="2" t="inlineStr">
        <is>
          <t>BRL</t>
        </is>
      </c>
      <c r="E44" s="2" t="n">
        <v>192610</v>
      </c>
      <c r="F44" s="2" t="n">
        <v>99795</v>
      </c>
      <c r="G44" s="2" t="inlineStr">
        <is>
          <t>2026-02-12</t>
        </is>
      </c>
      <c r="H44" s="2" t="n">
        <v>0</v>
      </c>
      <c r="I44" s="2" t="n">
        <v>12840.2</v>
      </c>
      <c r="J44" s="2" t="inlineStr">
        <is>
          <t>High</t>
        </is>
      </c>
      <c r="K44" s="2" t="inlineStr">
        <is>
          <t>Open</t>
        </is>
      </c>
    </row>
    <row r="45">
      <c r="A45" s="2" t="inlineStr">
        <is>
          <t>LC1045</t>
        </is>
      </c>
      <c r="B45" s="2" t="inlineStr">
        <is>
          <t>Siemens</t>
        </is>
      </c>
      <c r="C45" s="2" t="inlineStr">
        <is>
          <t>Germany</t>
        </is>
      </c>
      <c r="D45" s="2" t="inlineStr">
        <is>
          <t>BRL</t>
        </is>
      </c>
      <c r="E45" s="2" t="n">
        <v>584653</v>
      </c>
      <c r="F45" s="2" t="n">
        <v>777183</v>
      </c>
      <c r="G45" s="2" t="inlineStr">
        <is>
          <t>2026-01-12</t>
        </is>
      </c>
      <c r="H45" s="2" t="n">
        <v>15</v>
      </c>
      <c r="I45" s="2" t="n">
        <v>5884.51</v>
      </c>
      <c r="J45" s="2" t="inlineStr">
        <is>
          <t>Low</t>
        </is>
      </c>
      <c r="K45" s="2" t="inlineStr">
        <is>
          <t>Open</t>
        </is>
      </c>
    </row>
    <row r="46">
      <c r="A46" s="2" t="inlineStr">
        <is>
          <t>LC1046</t>
        </is>
      </c>
      <c r="B46" s="2" t="inlineStr">
        <is>
          <t>Maersk</t>
        </is>
      </c>
      <c r="C46" s="2" t="inlineStr">
        <is>
          <t>China</t>
        </is>
      </c>
      <c r="D46" s="2" t="inlineStr">
        <is>
          <t>TRY</t>
        </is>
      </c>
      <c r="E46" s="2" t="n">
        <v>172440</v>
      </c>
      <c r="F46" s="2" t="n">
        <v>666986</v>
      </c>
      <c r="G46" s="2" t="inlineStr">
        <is>
          <t>2026-02-24</t>
        </is>
      </c>
      <c r="H46" s="2" t="n">
        <v>0</v>
      </c>
      <c r="I46" s="2" t="n">
        <v>7843.61</v>
      </c>
      <c r="J46" s="2" t="inlineStr">
        <is>
          <t>Medium</t>
        </is>
      </c>
      <c r="K46" s="2" t="inlineStr">
        <is>
          <t>Open</t>
        </is>
      </c>
    </row>
    <row r="47">
      <c r="A47" s="2" t="inlineStr">
        <is>
          <t>LC1047</t>
        </is>
      </c>
      <c r="B47" s="2" t="inlineStr">
        <is>
          <t>Nestle</t>
        </is>
      </c>
      <c r="C47" s="2" t="inlineStr">
        <is>
          <t>Nigeria</t>
        </is>
      </c>
      <c r="D47" s="2" t="inlineStr">
        <is>
          <t>TRY</t>
        </is>
      </c>
      <c r="E47" s="2" t="n">
        <v>662982</v>
      </c>
      <c r="F47" s="2" t="n">
        <v>755765</v>
      </c>
      <c r="G47" s="2" t="inlineStr">
        <is>
          <t>2026-02-06</t>
        </is>
      </c>
      <c r="H47" s="2" t="n">
        <v>28</v>
      </c>
      <c r="I47" s="2" t="n">
        <v>10762.82</v>
      </c>
      <c r="J47" s="2" t="inlineStr">
        <is>
          <t>High</t>
        </is>
      </c>
      <c r="K47" s="2" t="inlineStr">
        <is>
          <t>Settled</t>
        </is>
      </c>
    </row>
    <row r="48">
      <c r="A48" s="2" t="inlineStr">
        <is>
          <t>LC1048</t>
        </is>
      </c>
      <c r="B48" s="2" t="inlineStr">
        <is>
          <t>Shell</t>
        </is>
      </c>
      <c r="C48" s="2" t="inlineStr">
        <is>
          <t>UAE</t>
        </is>
      </c>
      <c r="D48" s="2" t="inlineStr">
        <is>
          <t>CNY</t>
        </is>
      </c>
      <c r="E48" s="2" t="n">
        <v>229962</v>
      </c>
      <c r="F48" s="2" t="n">
        <v>330782</v>
      </c>
      <c r="G48" s="2" t="inlineStr">
        <is>
          <t>2026-03-05</t>
        </is>
      </c>
      <c r="H48" s="2" t="n">
        <v>13</v>
      </c>
      <c r="I48" s="2" t="n">
        <v>1049.43</v>
      </c>
      <c r="J48" s="2" t="inlineStr">
        <is>
          <t>Low</t>
        </is>
      </c>
      <c r="K48" s="2" t="inlineStr">
        <is>
          <t>Overdue</t>
        </is>
      </c>
    </row>
    <row r="49">
      <c r="A49" s="2" t="inlineStr">
        <is>
          <t>LC1049</t>
        </is>
      </c>
      <c r="B49" s="2" t="inlineStr">
        <is>
          <t>Tata</t>
        </is>
      </c>
      <c r="C49" s="2" t="inlineStr">
        <is>
          <t>UAE</t>
        </is>
      </c>
      <c r="D49" s="2" t="inlineStr">
        <is>
          <t>EUR</t>
        </is>
      </c>
      <c r="E49" s="2" t="n">
        <v>538350</v>
      </c>
      <c r="F49" s="2" t="n">
        <v>608450</v>
      </c>
      <c r="G49" s="2" t="inlineStr">
        <is>
          <t>2026-02-24</t>
        </is>
      </c>
      <c r="H49" s="2" t="n">
        <v>55</v>
      </c>
      <c r="I49" s="2" t="n">
        <v>786.12</v>
      </c>
      <c r="J49" s="2" t="inlineStr">
        <is>
          <t>Low</t>
        </is>
      </c>
      <c r="K49" s="2" t="inlineStr">
        <is>
          <t>Overdue</t>
        </is>
      </c>
    </row>
    <row r="50">
      <c r="A50" s="2" t="inlineStr">
        <is>
          <t>LC1050</t>
        </is>
      </c>
      <c r="B50" s="2" t="inlineStr">
        <is>
          <t>Siemens</t>
        </is>
      </c>
      <c r="C50" s="2" t="inlineStr">
        <is>
          <t>Indonesia</t>
        </is>
      </c>
      <c r="D50" s="2" t="inlineStr">
        <is>
          <t>EUR</t>
        </is>
      </c>
      <c r="E50" s="2" t="n">
        <v>580704</v>
      </c>
      <c r="F50" s="2" t="n">
        <v>710263</v>
      </c>
      <c r="G50" s="2" t="inlineStr">
        <is>
          <t>2026-03-29</t>
        </is>
      </c>
      <c r="H50" s="2" t="n">
        <v>68</v>
      </c>
      <c r="I50" s="2" t="n">
        <v>-19287.63</v>
      </c>
      <c r="J50" s="2" t="inlineStr">
        <is>
          <t>Medium</t>
        </is>
      </c>
      <c r="K50" s="2" t="inlineStr">
        <is>
          <t>Settled</t>
        </is>
      </c>
    </row>
    <row r="51">
      <c r="A51" s="2" t="inlineStr">
        <is>
          <t>LC1051</t>
        </is>
      </c>
      <c r="B51" s="2" t="inlineStr">
        <is>
          <t>Siemens</t>
        </is>
      </c>
      <c r="C51" s="2" t="inlineStr">
        <is>
          <t>Turkey</t>
        </is>
      </c>
      <c r="D51" s="2" t="inlineStr">
        <is>
          <t>CNY</t>
        </is>
      </c>
      <c r="E51" s="2" t="n">
        <v>209622</v>
      </c>
      <c r="F51" s="2" t="n">
        <v>445084</v>
      </c>
      <c r="G51" s="2" t="inlineStr">
        <is>
          <t>2026-03-06</t>
        </is>
      </c>
      <c r="H51" s="2" t="n">
        <v>13</v>
      </c>
      <c r="I51" s="2" t="n">
        <v>13052.46</v>
      </c>
      <c r="J51" s="2" t="inlineStr">
        <is>
          <t>High</t>
        </is>
      </c>
      <c r="K51" s="2" t="inlineStr">
        <is>
          <t>Open</t>
        </is>
      </c>
    </row>
  </sheetData>
  <conditionalFormatting sqref="H2:H5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Country</t>
        </is>
      </c>
      <c r="B1" s="1" t="inlineStr">
        <is>
          <t>Total Exposure</t>
        </is>
      </c>
      <c r="C1" s="1" t="inlineStr">
        <is>
          <t>Avg Overdue Days</t>
        </is>
      </c>
      <c r="D1" s="1" t="inlineStr">
        <is>
          <t>High Risk Count</t>
        </is>
      </c>
    </row>
    <row r="2">
      <c r="A2" s="2" t="inlineStr">
        <is>
          <t>Germany</t>
        </is>
      </c>
      <c r="B2" s="2">
        <f>SUMIF(Trade_Data!C:C,A2,Trade_Data!F:F)</f>
        <v/>
      </c>
      <c r="C2" s="2">
        <f>AVERAGEIF(Trade_Data!C:C,A2,Trade_Data!H:H)</f>
        <v/>
      </c>
      <c r="D2" s="2">
        <f>COUNTIFS(Trade_Data!C:C,A2,Trade_Data!J:J,"High")</f>
        <v/>
      </c>
    </row>
    <row r="3">
      <c r="A3" s="2" t="inlineStr">
        <is>
          <t>China</t>
        </is>
      </c>
      <c r="B3" s="2">
        <f>SUMIF(Trade_Data!C:C,A3,Trade_Data!F:F)</f>
        <v/>
      </c>
      <c r="C3" s="2">
        <f>AVERAGEIF(Trade_Data!C:C,A3,Trade_Data!H:H)</f>
        <v/>
      </c>
      <c r="D3" s="2">
        <f>COUNTIFS(Trade_Data!C:C,A3,Trade_Data!J:J,"High")</f>
        <v/>
      </c>
    </row>
    <row r="4">
      <c r="A4" s="2" t="inlineStr">
        <is>
          <t>Indonesia</t>
        </is>
      </c>
      <c r="B4" s="2">
        <f>SUMIF(Trade_Data!C:C,A4,Trade_Data!F:F)</f>
        <v/>
      </c>
      <c r="C4" s="2">
        <f>AVERAGEIF(Trade_Data!C:C,A4,Trade_Data!H:H)</f>
        <v/>
      </c>
      <c r="D4" s="2">
        <f>COUNTIFS(Trade_Data!C:C,A4,Trade_Data!J:J,"High")</f>
        <v/>
      </c>
    </row>
    <row r="5">
      <c r="A5" s="2" t="inlineStr">
        <is>
          <t>UAE</t>
        </is>
      </c>
      <c r="B5" s="2">
        <f>SUMIF(Trade_Data!C:C,A5,Trade_Data!F:F)</f>
        <v/>
      </c>
      <c r="C5" s="2">
        <f>AVERAGEIF(Trade_Data!C:C,A5,Trade_Data!H:H)</f>
        <v/>
      </c>
      <c r="D5" s="2">
        <f>COUNTIFS(Trade_Data!C:C,A5,Trade_Data!J:J,"High")</f>
        <v/>
      </c>
    </row>
    <row r="6">
      <c r="A6" s="2" t="inlineStr">
        <is>
          <t>Turkey</t>
        </is>
      </c>
      <c r="B6" s="2">
        <f>SUMIF(Trade_Data!C:C,A6,Trade_Data!F:F)</f>
        <v/>
      </c>
      <c r="C6" s="2">
        <f>AVERAGEIF(Trade_Data!C:C,A6,Trade_Data!H:H)</f>
        <v/>
      </c>
      <c r="D6" s="2">
        <f>COUNTIFS(Trade_Data!C:C,A6,Trade_Data!J:J,"High")</f>
        <v/>
      </c>
    </row>
    <row r="7">
      <c r="A7" s="2" t="inlineStr">
        <is>
          <t>Nigeria</t>
        </is>
      </c>
      <c r="B7" s="2">
        <f>SUMIF(Trade_Data!C:C,A7,Trade_Data!F:F)</f>
        <v/>
      </c>
      <c r="C7" s="2">
        <f>AVERAGEIF(Trade_Data!C:C,A7,Trade_Data!H:H)</f>
        <v/>
      </c>
      <c r="D7" s="2">
        <f>COUNTIFS(Trade_Data!C:C,A7,Trade_Data!J:J,"High")</f>
        <v/>
      </c>
    </row>
    <row r="8">
      <c r="A8" s="2" t="inlineStr">
        <is>
          <t>Brazil</t>
        </is>
      </c>
      <c r="B8" s="2">
        <f>SUMIF(Trade_Data!C:C,A8,Trade_Data!F:F)</f>
        <v/>
      </c>
      <c r="C8" s="2">
        <f>AVERAGEIF(Trade_Data!C:C,A8,Trade_Data!H:H)</f>
        <v/>
      </c>
      <c r="D8" s="2">
        <f>COUNTIFS(Trade_Data!C:C,A8,Trade_Data!J:J,"High")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Trade Finance Risk Dashboard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r="4">
      <c r="A4" s="5" t="inlineStr">
        <is>
          <t>Total LC Exposure</t>
        </is>
      </c>
      <c r="D4" s="5" t="inlineStr">
        <is>
          <t>Overdue Receivables</t>
        </is>
      </c>
      <c r="G4" s="5" t="inlineStr">
        <is>
          <t>High Risk Transactions</t>
        </is>
      </c>
      <c r="J4" s="5" t="inlineStr">
        <is>
          <t>Net FX Impact</t>
        </is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>
      <c r="A5" s="6">
        <f>SUM(Trade_Data!F:F)</f>
        <v/>
      </c>
      <c r="D5" s="6">
        <f>SUMIF(Trade_Data!H:H,"&gt;0",Trade_Data!E:E)</f>
        <v/>
      </c>
      <c r="G5" s="6">
        <f>COUNTIF(Trade_Data!J:J,"High")</f>
        <v/>
      </c>
      <c r="J5" s="6">
        <f>SUM(Trade_Data!I:I)</f>
        <v/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r="6"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</sheetData>
  <mergeCells count="9">
    <mergeCell ref="A4:C4"/>
    <mergeCell ref="D5:F6"/>
    <mergeCell ref="A5:C6"/>
    <mergeCell ref="G5:I6"/>
    <mergeCell ref="D4:F4"/>
    <mergeCell ref="J5:L6"/>
    <mergeCell ref="G4:I4"/>
    <mergeCell ref="J4:L4"/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Receivable_USD</t>
        </is>
      </c>
    </row>
    <row r="2">
      <c r="A2" s="2" t="inlineStr">
        <is>
          <t>0-30 Days</t>
        </is>
      </c>
      <c r="B2" s="2" t="n">
        <v>450000</v>
      </c>
    </row>
    <row r="3">
      <c r="A3" s="2" t="inlineStr">
        <is>
          <t>31-60 Days</t>
        </is>
      </c>
      <c r="B3" s="2" t="n">
        <v>380000</v>
      </c>
    </row>
    <row r="4">
      <c r="A4" s="2" t="inlineStr">
        <is>
          <t>61-90 Days</t>
        </is>
      </c>
      <c r="B4" s="2" t="n">
        <v>250000</v>
      </c>
    </row>
    <row r="5">
      <c r="A5" s="2" t="inlineStr">
        <is>
          <t>90+ Days</t>
        </is>
      </c>
      <c r="B5" s="2" t="n">
        <v>120000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FX Loss/Gain</t>
        </is>
      </c>
    </row>
    <row r="2">
      <c r="A2" t="inlineStr">
        <is>
          <t>Jan</t>
        </is>
      </c>
      <c r="B2" t="n">
        <v>20339</v>
      </c>
    </row>
    <row r="3">
      <c r="A3" t="inlineStr">
        <is>
          <t>Feb</t>
        </is>
      </c>
      <c r="B3" t="n">
        <v>15559</v>
      </c>
    </row>
    <row r="4">
      <c r="A4" t="inlineStr">
        <is>
          <t>Mar</t>
        </is>
      </c>
      <c r="B4" t="n">
        <v>14813</v>
      </c>
    </row>
    <row r="5">
      <c r="A5" t="inlineStr">
        <is>
          <t>Apr</t>
        </is>
      </c>
      <c r="B5" t="n">
        <v>58043</v>
      </c>
    </row>
    <row r="6">
      <c r="A6" t="inlineStr">
        <is>
          <t>May</t>
        </is>
      </c>
      <c r="B6" t="n">
        <v>51883</v>
      </c>
    </row>
    <row r="7">
      <c r="A7" t="inlineStr">
        <is>
          <t>Jun</t>
        </is>
      </c>
      <c r="B7" t="n">
        <v>30562</v>
      </c>
    </row>
    <row r="8">
      <c r="A8" t="inlineStr">
        <is>
          <t>Jul</t>
        </is>
      </c>
      <c r="B8" t="n">
        <v>47683</v>
      </c>
    </row>
    <row r="9">
      <c r="A9" t="inlineStr">
        <is>
          <t>Aug</t>
        </is>
      </c>
      <c r="B9" t="n">
        <v>62877</v>
      </c>
    </row>
    <row r="10">
      <c r="A10" t="inlineStr">
        <is>
          <t>Sep</t>
        </is>
      </c>
      <c r="B10" t="n">
        <v>63325</v>
      </c>
    </row>
    <row r="11">
      <c r="A11" t="inlineStr">
        <is>
          <t>Oct</t>
        </is>
      </c>
      <c r="B11" t="n">
        <v>42092</v>
      </c>
    </row>
    <row r="12">
      <c r="A12" t="inlineStr">
        <is>
          <t>Nov</t>
        </is>
      </c>
      <c r="B12" t="n">
        <v>-19741</v>
      </c>
    </row>
    <row r="13">
      <c r="A13" t="inlineStr">
        <is>
          <t>Dec</t>
        </is>
      </c>
      <c r="B13" t="n">
        <v>-27264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2026-04-29T14:44:15Z</dcterms:created>
  <dcterms:modified xmlns:dcterms="http://purl.org/dc/terms/" xmlns:xsi="http://www.w3.org/2001/XMLSchema-instance" xsi:type="dcterms:W3CDTF">2026-04-29T14:44:16Z</dcterms:modified>
</cp:coreProperties>
</file>