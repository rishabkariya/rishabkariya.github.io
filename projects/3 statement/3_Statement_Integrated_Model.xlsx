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 Statement" sheetId="4" state="visible" r:id="rId4"/>
    <sheet xmlns:r="http://schemas.openxmlformats.org/officeDocument/2006/relationships" name="Ratio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;(0.0%);&quot;-&quot;"/>
    <numFmt numFmtId="166" formatCode="0.00x"/>
    <numFmt numFmtId="167" formatCode="0.0x"/>
    <numFmt numFmtId="168" formatCode="0 &quot;days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9"/>
    </font>
    <font>
      <name val="Arial"/>
      <b val="1"/>
      <color rgb="00008000"/>
      <sz val="10"/>
    </font>
    <font>
      <name val="Arial"/>
      <i val="1"/>
      <color rgb="00777777"/>
      <sz val="8"/>
    </font>
    <font>
      <name val="Arial"/>
      <color rgb="00008000"/>
      <sz val="10"/>
    </font>
    <font>
      <name val="Arial"/>
      <b val="1"/>
      <color rgb="001F3864"/>
      <sz val="10"/>
    </font>
    <font>
      <name val="Arial"/>
      <b val="1"/>
      <color rgb="00375623"/>
      <sz val="10"/>
    </font>
    <font>
      <name val="Arial"/>
      <b val="1"/>
      <color rgb="00FFFFFF"/>
      <sz val="11"/>
    </font>
    <font>
      <name val="Arial"/>
      <b val="1"/>
      <color rgb="00843C0C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E5F9E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4" borderId="0" applyAlignment="1" pivotButton="0" quotePrefix="0" xfId="0">
      <alignment horizontal="left" indent="1"/>
    </xf>
    <xf numFmtId="0" fontId="4" fillId="5" borderId="1" pivotButton="0" quotePrefix="0" xfId="0"/>
    <xf numFmtId="0" fontId="2" fillId="5" borderId="1" applyAlignment="1" pivotButton="0" quotePrefix="0" xfId="0">
      <alignment horizontal="center"/>
    </xf>
    <xf numFmtId="164" fontId="5" fillId="5" borderId="1" applyAlignment="1" pivotButton="0" quotePrefix="0" xfId="0">
      <alignment horizontal="right"/>
    </xf>
    <xf numFmtId="0" fontId="4" fillId="6" borderId="1" pivotButton="0" quotePrefix="0" xfId="0"/>
    <xf numFmtId="0" fontId="2" fillId="6" borderId="1" applyAlignment="1" pivotButton="0" quotePrefix="0" xfId="0">
      <alignment horizontal="center"/>
    </xf>
    <xf numFmtId="165" fontId="5" fillId="6" borderId="1" applyAlignment="1" pivotButton="0" quotePrefix="0" xfId="0">
      <alignment horizontal="right"/>
    </xf>
    <xf numFmtId="165" fontId="4" fillId="6" borderId="1" applyAlignment="1" pivotButton="0" quotePrefix="0" xfId="0">
      <alignment horizontal="right"/>
    </xf>
    <xf numFmtId="165" fontId="4" fillId="5" borderId="1" applyAlignment="1" pivotButton="0" quotePrefix="0" xfId="0">
      <alignment horizontal="right"/>
    </xf>
    <xf numFmtId="165" fontId="5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164" fontId="4" fillId="6" borderId="1" applyAlignment="1" pivotButton="0" quotePrefix="0" xfId="0">
      <alignment horizontal="right"/>
    </xf>
    <xf numFmtId="0" fontId="6" fillId="2" borderId="1" pivotButton="0" quotePrefix="0" xfId="0"/>
    <xf numFmtId="0" fontId="7" fillId="3" borderId="1" applyAlignment="1" pivotButton="0" quotePrefix="0" xfId="0">
      <alignment horizontal="left" indent="2"/>
    </xf>
    <xf numFmtId="0" fontId="8" fillId="3" borderId="1" pivotButton="0" quotePrefix="0" xfId="0"/>
    <xf numFmtId="164" fontId="7" fillId="3" borderId="1" applyAlignment="1" pivotButton="0" quotePrefix="0" xfId="0">
      <alignment horizontal="right"/>
    </xf>
    <xf numFmtId="0" fontId="9" fillId="5" borderId="1" applyAlignment="1" pivotButton="0" quotePrefix="0" xfId="0">
      <alignment horizontal="left" indent="2"/>
    </xf>
    <xf numFmtId="0" fontId="8" fillId="5" borderId="1" pivotButton="0" quotePrefix="0" xfId="0"/>
    <xf numFmtId="164" fontId="9" fillId="5" borderId="1" applyAlignment="1" pivotButton="0" quotePrefix="0" xfId="0">
      <alignment horizontal="right"/>
    </xf>
    <xf numFmtId="0" fontId="3" fillId="7" borderId="1" applyAlignment="1" pivotButton="0" quotePrefix="0" xfId="0">
      <alignment horizontal="left" indent="1"/>
    </xf>
    <xf numFmtId="164" fontId="10" fillId="3" borderId="1" applyAlignment="1" pivotButton="0" quotePrefix="0" xfId="0">
      <alignment horizontal="right"/>
    </xf>
    <xf numFmtId="0" fontId="4" fillId="6" borderId="1" applyAlignment="1" pivotButton="0" quotePrefix="0" xfId="0">
      <alignment horizontal="left" indent="2"/>
    </xf>
    <xf numFmtId="0" fontId="8" fillId="6" borderId="1" pivotButton="0" quotePrefix="0" xfId="0"/>
    <xf numFmtId="0" fontId="9" fillId="6" borderId="1" applyAlignment="1" pivotButton="0" quotePrefix="0" xfId="0">
      <alignment horizontal="left" indent="2"/>
    </xf>
    <xf numFmtId="164" fontId="9" fillId="6" borderId="1" applyAlignment="1" pivotButton="0" quotePrefix="0" xfId="0">
      <alignment horizontal="right"/>
    </xf>
    <xf numFmtId="0" fontId="10" fillId="3" borderId="1" applyAlignment="1" pivotButton="0" quotePrefix="0" xfId="0">
      <alignment horizontal="left" indent="2"/>
    </xf>
    <xf numFmtId="0" fontId="3" fillId="2" borderId="1" applyAlignment="1" pivotButton="0" quotePrefix="0" xfId="0">
      <alignment horizontal="left" indent="1"/>
    </xf>
    <xf numFmtId="0" fontId="8" fillId="8" borderId="1" pivotButton="0" quotePrefix="0" xfId="0"/>
    <xf numFmtId="164" fontId="11" fillId="8" borderId="1" applyAlignment="1" pivotButton="0" quotePrefix="0" xfId="0">
      <alignment horizontal="right"/>
    </xf>
    <xf numFmtId="0" fontId="11" fillId="8" borderId="1" applyAlignment="1" pivotButton="0" quotePrefix="0" xfId="0">
      <alignment horizontal="left" indent="2"/>
    </xf>
    <xf numFmtId="0" fontId="0" fillId="2" borderId="1" pivotButton="0" quotePrefix="0" xfId="0"/>
    <xf numFmtId="0" fontId="3" fillId="4" borderId="1" applyAlignment="1" pivotButton="0" quotePrefix="0" xfId="0">
      <alignment horizontal="left" indent="1"/>
    </xf>
    <xf numFmtId="0" fontId="0" fillId="4" borderId="1" pivotButton="0" quotePrefix="0" xfId="0"/>
    <xf numFmtId="0" fontId="5" fillId="6" borderId="1" applyAlignment="1" pivotButton="0" quotePrefix="0" xfId="0">
      <alignment horizontal="left" indent="2"/>
    </xf>
    <xf numFmtId="0" fontId="4" fillId="5" borderId="1" applyAlignment="1" pivotButton="0" quotePrefix="0" xfId="0">
      <alignment horizontal="left" indent="2"/>
    </xf>
    <xf numFmtId="164" fontId="4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left" indent="2"/>
    </xf>
    <xf numFmtId="0" fontId="12" fillId="2" borderId="1" applyAlignment="1" pivotButton="0" quotePrefix="0" xfId="0">
      <alignment horizontal="left" indent="1"/>
    </xf>
    <xf numFmtId="164" fontId="12" fillId="2" borderId="1" applyAlignment="1" pivotButton="0" quotePrefix="0" xfId="0">
      <alignment horizontal="right"/>
    </xf>
    <xf numFmtId="0" fontId="13" fillId="9" borderId="1" applyAlignment="1" pivotButton="0" quotePrefix="0" xfId="0">
      <alignment horizontal="left" indent="2"/>
    </xf>
    <xf numFmtId="0" fontId="8" fillId="9" borderId="1" pivotButton="0" quotePrefix="0" xfId="0"/>
    <xf numFmtId="164" fontId="13" fillId="9" borderId="1" applyAlignment="1" pivotButton="0" quotePrefix="0" xfId="0">
      <alignment horizontal="right"/>
    </xf>
    <xf numFmtId="0" fontId="13" fillId="10" borderId="1" applyAlignment="1" pivotButton="0" quotePrefix="0" xfId="0">
      <alignment horizontal="left" indent="1"/>
    </xf>
    <xf numFmtId="0" fontId="8" fillId="10" borderId="1" pivotButton="0" quotePrefix="0" xfId="0"/>
    <xf numFmtId="164" fontId="13" fillId="10" borderId="1" applyAlignment="1" pivotButton="0" quotePrefix="0" xfId="0">
      <alignment horizontal="right"/>
    </xf>
    <xf numFmtId="0" fontId="3" fillId="3" borderId="1" applyAlignment="1" pivotButton="0" quotePrefix="0" xfId="0">
      <alignment horizontal="left" indent="1"/>
    </xf>
    <xf numFmtId="0" fontId="0" fillId="3" borderId="1" pivotButton="0" quotePrefix="0" xfId="0"/>
    <xf numFmtId="0" fontId="4" fillId="6" borderId="1" applyAlignment="1" pivotButton="0" quotePrefix="0" xfId="0">
      <alignment horizontal="left" indent="3"/>
    </xf>
    <xf numFmtId="164" fontId="0" fillId="6" borderId="1" pivotButton="0" quotePrefix="0" xfId="0"/>
    <xf numFmtId="164" fontId="4" fillId="6" borderId="1" pivotButton="0" quotePrefix="0" xfId="0"/>
    <xf numFmtId="0" fontId="4" fillId="5" borderId="1" applyAlignment="1" pivotButton="0" quotePrefix="0" xfId="0">
      <alignment horizontal="left" indent="3"/>
    </xf>
    <xf numFmtId="164" fontId="0" fillId="5" borderId="1" pivotButton="0" quotePrefix="0" xfId="0"/>
    <xf numFmtId="164" fontId="4" fillId="5" borderId="1" pivotButton="0" quotePrefix="0" xfId="0"/>
    <xf numFmtId="0" fontId="11" fillId="8" borderId="1" applyAlignment="1" pivotButton="0" quotePrefix="0" xfId="0">
      <alignment horizontal="left" indent="1"/>
    </xf>
    <xf numFmtId="0" fontId="13" fillId="9" borderId="1" applyAlignment="1" pivotButton="0" quotePrefix="0" xfId="0">
      <alignment horizontal="left" indent="1"/>
    </xf>
    <xf numFmtId="164" fontId="3" fillId="2" borderId="1" applyAlignment="1" pivotButton="0" quotePrefix="0" xfId="0">
      <alignment horizontal="right"/>
    </xf>
    <xf numFmtId="166" fontId="4" fillId="5" borderId="1" applyAlignment="1" pivotButton="0" quotePrefix="0" xfId="0">
      <alignment horizontal="right"/>
    </xf>
    <xf numFmtId="166" fontId="4" fillId="6" borderId="1" applyAlignment="1" pivotButton="0" quotePrefix="0" xfId="0">
      <alignment horizontal="right"/>
    </xf>
    <xf numFmtId="167" fontId="4" fillId="5" borderId="1" applyAlignment="1" pivotButton="0" quotePrefix="0" xfId="0">
      <alignment horizontal="right"/>
    </xf>
    <xf numFmtId="168" fontId="4" fillId="5" borderId="1" applyAlignment="1" pivotButton="0" quotePrefix="0" xfId="0">
      <alignment horizontal="right"/>
    </xf>
    <xf numFmtId="168" fontId="4" fillId="6" borderId="1" applyAlignment="1" pivotButton="0" quotePrefix="0" xfId="0">
      <alignment horizontal="right"/>
    </xf>
  </cellXfs>
  <cellStyles count="1">
    <cellStyle name="Normal" xfId="0" builtinId="0" hidden="0"/>
  </cellStyles>
  <dxfs count="2">
    <dxf>
      <font>
        <name val="Arial"/>
        <b val="1"/>
        <color rgb="00FFFFFF"/>
      </font>
      <fill>
        <patternFill patternType="solid">
          <fgColor rgb="00FF0000"/>
        </patternFill>
      </fill>
    </dxf>
    <dxf>
      <font>
        <name val="Arial"/>
        <b val="1"/>
        <color rgb="00375623"/>
      </font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PAT (₹ Lakhs)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'Ratio Dashboard'!$B$3:$F$3</f>
            </numRef>
          </cat>
          <val>
            <numRef>
              <f>'Income Statement'!$C$4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'Ratio Dashboard'!$B$3:$F$3</f>
            </numRef>
          </cat>
          <val>
            <numRef>
              <f>'Income Statement'!$D$4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'Ratio Dashboard'!$B$3:$F$3</f>
            </numRef>
          </cat>
          <val>
            <numRef>
              <f>'Income Statement'!$E$4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'Ratio Dashboard'!$B$3:$F$3</f>
            </numRef>
          </cat>
          <val>
            <numRef>
              <f>'Income Statement'!$F$4</f>
            </numRef>
          </val>
        </ser>
        <ser>
          <idx val="4"/>
          <order val="4"/>
          <tx>
            <v>Revenue</v>
          </tx>
          <spPr>
            <a:ln xmlns:a="http://schemas.openxmlformats.org/drawingml/2006/main">
              <a:prstDash val="solid"/>
            </a:ln>
          </spPr>
          <cat>
            <numRef>
              <f>'Ratio Dashboard'!$B$3:$F$3</f>
            </numRef>
          </cat>
          <val>
            <numRef>
              <f>'Income Statement'!$G$4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'Ratio Dashboard'!$B$3:$F$3</f>
            </numRef>
          </cat>
          <val>
            <numRef>
              <f>'Income Statement'!$C$17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'Ratio Dashboard'!$B$3:$F$3</f>
            </numRef>
          </cat>
          <val>
            <numRef>
              <f>'Income Statement'!$D$17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'Ratio Dashboard'!$B$3:$F$3</f>
            </numRef>
          </cat>
          <val>
            <numRef>
              <f>'Income Statement'!$E$17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'Ratio Dashboard'!$B$3:$F$3</f>
            </numRef>
          </cat>
          <val>
            <numRef>
              <f>'Income Statement'!$F$17</f>
            </numRef>
          </val>
        </ser>
        <ser>
          <idx val="9"/>
          <order val="9"/>
          <tx>
            <v>PAT</v>
          </tx>
          <spPr>
            <a:ln xmlns:a="http://schemas.openxmlformats.org/drawingml/2006/main">
              <a:prstDash val="solid"/>
            </a:ln>
          </spPr>
          <cat>
            <numRef>
              <f>'Ratio Dashboard'!$B$3:$F$3</f>
            </numRef>
          </cat>
          <val>
            <numRef>
              <f>'Income Statement'!$G$17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Margin Trends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'Ratio Dashboard'!$B$3:$F$3</f>
            </numRef>
          </cat>
          <val>
            <numRef>
              <f>'Income Statement'!$C$7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'Ratio Dashboard'!$B$3:$F$3</f>
            </numRef>
          </cat>
          <val>
            <numRef>
              <f>'Income Statement'!$D$7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'Ratio Dashboard'!$B$3:$F$3</f>
            </numRef>
          </cat>
          <val>
            <numRef>
              <f>'Income Statement'!$E$7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'Ratio Dashboard'!$B$3:$F$3</f>
            </numRef>
          </cat>
          <val>
            <numRef>
              <f>'Income Statement'!$F$7</f>
            </numRef>
          </val>
        </ser>
        <ser>
          <idx val="4"/>
          <order val="4"/>
          <tx>
            <v>EBITDA Margin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'Ratio Dashboard'!$B$3:$F$3</f>
            </numRef>
          </cat>
          <val>
            <numRef>
              <f>'Income Statement'!$G$7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'Ratio Dashboard'!$B$3:$F$3</f>
            </numRef>
          </cat>
          <val>
            <numRef>
              <f>'Income Statement'!$C$8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'Ratio Dashboard'!$B$3:$F$3</f>
            </numRef>
          </cat>
          <val>
            <numRef>
              <f>'Income Statement'!$D$8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'Ratio Dashboard'!$B$3:$F$3</f>
            </numRef>
          </cat>
          <val>
            <numRef>
              <f>'Income Statement'!$E$8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'Ratio Dashboard'!$B$3:$F$3</f>
            </numRef>
          </cat>
          <val>
            <numRef>
              <f>'Income Statement'!$F$8</f>
            </numRef>
          </val>
        </ser>
        <ser>
          <idx val="9"/>
          <order val="9"/>
          <tx>
            <v>EBIT Margin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'Ratio Dashboard'!$B$3:$F$3</f>
            </numRef>
          </cat>
          <val>
            <numRef>
              <f>'Income Statement'!$G$8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'Ratio Dashboard'!$B$3:$F$3</f>
            </numRef>
          </cat>
          <val>
            <numRef>
              <f>'Income Statement'!$C$9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'Ratio Dashboard'!$B$3:$F$3</f>
            </numRef>
          </cat>
          <val>
            <numRef>
              <f>'Income Statement'!$D$9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'Ratio Dashboard'!$B$3:$F$3</f>
            </numRef>
          </cat>
          <val>
            <numRef>
              <f>'Income Statement'!$E$9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'Ratio Dashboard'!$B$3:$F$3</f>
            </numRef>
          </cat>
          <val>
            <numRef>
              <f>'Income Statement'!$F$9</f>
            </numRef>
          </val>
        </ser>
        <ser>
          <idx val="14"/>
          <order val="14"/>
          <tx>
            <v>Net Margin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'Ratio Dashboard'!$B$3:$F$3</f>
            </numRef>
          </cat>
          <val>
            <numRef>
              <f>'Income Statement'!$G$9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29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47</row>
      <rowOff>0</rowOff>
    </from>
    <ext cx="792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3-STATEMENT FINANCIAL MODEL — ASSUMPTIONS &amp; DRIVERS</t>
        </is>
      </c>
    </row>
    <row r="2">
      <c r="A2" s="2" t="inlineStr">
        <is>
          <t>Blue = inputs  |  Black = formulas  |  Amounts in ₹ Lakhs  |  Source: Management Estimates</t>
        </is>
      </c>
    </row>
    <row r="3">
      <c r="A3" s="3" t="inlineStr">
        <is>
          <t>Assumption / Driver</t>
        </is>
      </c>
      <c r="B3" s="4" t="inlineStr">
        <is>
          <t>Unit</t>
        </is>
      </c>
      <c r="C3" s="4" t="inlineStr">
        <is>
          <t>FY2023</t>
        </is>
      </c>
      <c r="D3" s="4" t="inlineStr">
        <is>
          <t>FY2024</t>
        </is>
      </c>
      <c r="E3" s="4" t="inlineStr">
        <is>
          <t>FY2025E</t>
        </is>
      </c>
      <c r="F3" s="4" t="inlineStr">
        <is>
          <t>FY2026E</t>
        </is>
      </c>
      <c r="G3" s="4" t="inlineStr">
        <is>
          <t>FY2027E</t>
        </is>
      </c>
    </row>
    <row r="4" ht="17" customHeight="1">
      <c r="A4" s="5" t="inlineStr">
        <is>
          <t>1. Revenue Drivers</t>
        </is>
      </c>
    </row>
    <row r="5">
      <c r="A5" s="6" t="inlineStr">
        <is>
          <t>Revenue (₹ Lakhs)</t>
        </is>
      </c>
      <c r="B5" s="7" t="inlineStr">
        <is>
          <t>₹L</t>
        </is>
      </c>
      <c r="C5" s="8" t="n">
        <v>480</v>
      </c>
      <c r="D5" s="8" t="n">
        <v>560</v>
      </c>
      <c r="E5" s="8" t="n">
        <v>650</v>
      </c>
      <c r="F5" s="8" t="n">
        <v>760</v>
      </c>
      <c r="G5" s="8" t="n">
        <v>890</v>
      </c>
    </row>
    <row r="6">
      <c r="A6" s="9" t="inlineStr">
        <is>
          <t>Revenue Growth YoY</t>
        </is>
      </c>
      <c r="B6" s="10" t="inlineStr">
        <is>
          <t>%</t>
        </is>
      </c>
      <c r="C6" s="11" t="inlineStr">
        <is>
          <t>—</t>
        </is>
      </c>
      <c r="D6" s="12">
        <f>(D5-C5)/C5</f>
        <v/>
      </c>
      <c r="E6" s="12">
        <f>(E5-D5)/D5</f>
        <v/>
      </c>
      <c r="F6" s="12">
        <f>(F5-E5)/E5</f>
        <v/>
      </c>
      <c r="G6" s="12">
        <f>(G5-F5)/F5</f>
        <v/>
      </c>
    </row>
    <row r="7" ht="17" customHeight="1">
      <c r="A7" s="5" t="inlineStr">
        <is>
          <t>2. P&amp;L Margin Drivers</t>
        </is>
      </c>
    </row>
    <row r="8">
      <c r="A8" s="9" t="inlineStr">
        <is>
          <t>COGS as % of Revenue</t>
        </is>
      </c>
      <c r="B8" s="10" t="inlineStr">
        <is>
          <t>%</t>
        </is>
      </c>
      <c r="C8" s="11" t="n">
        <v>0.58</v>
      </c>
      <c r="D8" s="11" t="n">
        <v>0.57</v>
      </c>
      <c r="E8" s="11" t="n">
        <v>0.5600000000000001</v>
      </c>
      <c r="F8" s="11" t="n">
        <v>0.55</v>
      </c>
      <c r="G8" s="11" t="n">
        <v>0.54</v>
      </c>
    </row>
    <row r="9">
      <c r="A9" s="6" t="inlineStr">
        <is>
          <t>Gross Margin %</t>
        </is>
      </c>
      <c r="B9" s="7" t="inlineStr">
        <is>
          <t>%</t>
        </is>
      </c>
      <c r="C9" s="13">
        <f>1-C8</f>
        <v/>
      </c>
      <c r="D9" s="13">
        <f>1-D8</f>
        <v/>
      </c>
      <c r="E9" s="13">
        <f>1-E8</f>
        <v/>
      </c>
      <c r="F9" s="13">
        <f>1-F8</f>
        <v/>
      </c>
      <c r="G9" s="13">
        <f>1-G8</f>
        <v/>
      </c>
    </row>
    <row r="10">
      <c r="A10" s="9" t="inlineStr">
        <is>
          <t>Operating Expenses (% Rev)</t>
        </is>
      </c>
      <c r="B10" s="10" t="inlineStr">
        <is>
          <t>%</t>
        </is>
      </c>
      <c r="C10" s="11" t="n">
        <v>0.22</v>
      </c>
      <c r="D10" s="11" t="n">
        <v>0.21</v>
      </c>
      <c r="E10" s="11" t="n">
        <v>0.2</v>
      </c>
      <c r="F10" s="11" t="n">
        <v>0.19</v>
      </c>
      <c r="G10" s="11" t="n">
        <v>0.18</v>
      </c>
    </row>
    <row r="11">
      <c r="A11" s="6" t="inlineStr">
        <is>
          <t>EBITDA Margin %</t>
        </is>
      </c>
      <c r="B11" s="7" t="inlineStr">
        <is>
          <t>%</t>
        </is>
      </c>
      <c r="C11" s="13">
        <f>C9-C10</f>
        <v/>
      </c>
      <c r="D11" s="13">
        <f>D9-D10</f>
        <v/>
      </c>
      <c r="E11" s="13">
        <f>E9-E10</f>
        <v/>
      </c>
      <c r="F11" s="13">
        <f>F9-F10</f>
        <v/>
      </c>
      <c r="G11" s="13">
        <f>G9-G10</f>
        <v/>
      </c>
    </row>
    <row r="12">
      <c r="A12" s="9" t="inlineStr">
        <is>
          <t>Depreciation (% of Gross FA)</t>
        </is>
      </c>
      <c r="B12" s="10" t="inlineStr">
        <is>
          <t>%</t>
        </is>
      </c>
      <c r="C12" s="11" t="n">
        <v>0.1</v>
      </c>
      <c r="D12" s="11" t="n">
        <v>0.1</v>
      </c>
      <c r="E12" s="11" t="n">
        <v>0.1</v>
      </c>
      <c r="F12" s="11" t="n">
        <v>0.1</v>
      </c>
      <c r="G12" s="11" t="n">
        <v>0.1</v>
      </c>
    </row>
    <row r="13">
      <c r="A13" s="6" t="inlineStr">
        <is>
          <t>Interest Rate on Debt</t>
        </is>
      </c>
      <c r="B13" s="7" t="inlineStr">
        <is>
          <t>%</t>
        </is>
      </c>
      <c r="C13" s="14" t="n">
        <v>0.08500000000000001</v>
      </c>
      <c r="D13" s="14" t="n">
        <v>0.08500000000000001</v>
      </c>
      <c r="E13" s="14" t="n">
        <v>0.08</v>
      </c>
      <c r="F13" s="14" t="n">
        <v>0.075</v>
      </c>
      <c r="G13" s="14" t="n">
        <v>0.075</v>
      </c>
    </row>
    <row r="14">
      <c r="A14" s="9" t="inlineStr">
        <is>
          <t>Effective Tax Rate</t>
        </is>
      </c>
      <c r="B14" s="10" t="inlineStr">
        <is>
          <t>%</t>
        </is>
      </c>
      <c r="C14" s="11" t="n">
        <v>0.25</v>
      </c>
      <c r="D14" s="11" t="n">
        <v>0.25</v>
      </c>
      <c r="E14" s="11" t="n">
        <v>0.25</v>
      </c>
      <c r="F14" s="11" t="n">
        <v>0.25</v>
      </c>
      <c r="G14" s="11" t="n">
        <v>0.25</v>
      </c>
    </row>
    <row r="15" ht="17" customHeight="1">
      <c r="A15" s="5" t="inlineStr">
        <is>
          <t>3. Balance Sheet Drivers</t>
        </is>
      </c>
    </row>
    <row r="16">
      <c r="A16" s="9" t="inlineStr">
        <is>
          <t>Receivable Days (DSO)</t>
        </is>
      </c>
      <c r="B16" s="10" t="inlineStr">
        <is>
          <t>days</t>
        </is>
      </c>
      <c r="C16" s="15" t="n">
        <v>60</v>
      </c>
      <c r="D16" s="15" t="n">
        <v>58</v>
      </c>
      <c r="E16" s="15" t="n">
        <v>55</v>
      </c>
      <c r="F16" s="15" t="n">
        <v>52</v>
      </c>
      <c r="G16" s="15" t="n">
        <v>50</v>
      </c>
    </row>
    <row r="17">
      <c r="A17" s="6" t="inlineStr">
        <is>
          <t>Inventory Days (DIO)</t>
        </is>
      </c>
      <c r="B17" s="7" t="inlineStr">
        <is>
          <t>days</t>
        </is>
      </c>
      <c r="C17" s="8" t="n">
        <v>45</v>
      </c>
      <c r="D17" s="8" t="n">
        <v>43</v>
      </c>
      <c r="E17" s="8" t="n">
        <v>40</v>
      </c>
      <c r="F17" s="8" t="n">
        <v>38</v>
      </c>
      <c r="G17" s="8" t="n">
        <v>36</v>
      </c>
    </row>
    <row r="18">
      <c r="A18" s="9" t="inlineStr">
        <is>
          <t>Payable Days (DPO)</t>
        </is>
      </c>
      <c r="B18" s="10" t="inlineStr">
        <is>
          <t>days</t>
        </is>
      </c>
      <c r="C18" s="15" t="n">
        <v>38</v>
      </c>
      <c r="D18" s="15" t="n">
        <v>40</v>
      </c>
      <c r="E18" s="15" t="n">
        <v>42</v>
      </c>
      <c r="F18" s="15" t="n">
        <v>44</v>
      </c>
      <c r="G18" s="15" t="n">
        <v>45</v>
      </c>
    </row>
    <row r="19">
      <c r="A19" s="6" t="inlineStr">
        <is>
          <t>Capex (₹ Lakhs)</t>
        </is>
      </c>
      <c r="B19" s="7" t="inlineStr">
        <is>
          <t>₹L</t>
        </is>
      </c>
      <c r="C19" s="8" t="n">
        <v>30</v>
      </c>
      <c r="D19" s="8" t="n">
        <v>35</v>
      </c>
      <c r="E19" s="8" t="n">
        <v>45</v>
      </c>
      <c r="F19" s="8" t="n">
        <v>50</v>
      </c>
      <c r="G19" s="8" t="n">
        <v>55</v>
      </c>
    </row>
    <row r="20">
      <c r="A20" s="9" t="inlineStr">
        <is>
          <t>Opening Gross FA (₹ Lakhs)</t>
        </is>
      </c>
      <c r="B20" s="10" t="inlineStr">
        <is>
          <t>₹L</t>
        </is>
      </c>
      <c r="C20" s="15" t="n">
        <v>200</v>
      </c>
      <c r="D20" s="16">
        <f>C20+C19</f>
        <v/>
      </c>
      <c r="E20" s="16">
        <f>D20+D19</f>
        <v/>
      </c>
      <c r="F20" s="16">
        <f>E20+E19</f>
        <v/>
      </c>
      <c r="G20" s="16">
        <f>F20+F19</f>
        <v/>
      </c>
    </row>
    <row r="21">
      <c r="A21" s="6" t="inlineStr">
        <is>
          <t>Opening Debt (₹ Lakhs)</t>
        </is>
      </c>
      <c r="B21" s="7" t="inlineStr">
        <is>
          <t>₹L</t>
        </is>
      </c>
      <c r="C21" s="8" t="n">
        <v>100</v>
      </c>
      <c r="D21" s="8" t="n"/>
      <c r="E21" s="8" t="n"/>
      <c r="F21" s="8" t="n"/>
      <c r="G21" s="8" t="n"/>
    </row>
    <row r="22">
      <c r="A22" s="9" t="inlineStr">
        <is>
          <t>Debt Repaid per Year (₹ Lakhs)</t>
        </is>
      </c>
      <c r="B22" s="10" t="inlineStr">
        <is>
          <t>₹L</t>
        </is>
      </c>
      <c r="C22" s="15" t="n">
        <v>10</v>
      </c>
      <c r="D22" s="15" t="n">
        <v>10</v>
      </c>
      <c r="E22" s="15" t="n">
        <v>10</v>
      </c>
      <c r="F22" s="15" t="n">
        <v>10</v>
      </c>
      <c r="G22" s="15" t="n">
        <v>10</v>
      </c>
    </row>
    <row r="23">
      <c r="A23" s="6" t="inlineStr">
        <is>
          <t>New Debt Raised (₹ Lakhs)</t>
        </is>
      </c>
      <c r="B23" s="7" t="inlineStr">
        <is>
          <t>₹L</t>
        </is>
      </c>
      <c r="C23" s="8" t="n">
        <v>0</v>
      </c>
      <c r="D23" s="8" t="n">
        <v>20</v>
      </c>
      <c r="E23" s="8" t="n">
        <v>15</v>
      </c>
      <c r="F23" s="8" t="n">
        <v>10</v>
      </c>
      <c r="G23" s="8" t="n">
        <v>0</v>
      </c>
    </row>
    <row r="24">
      <c r="A24" s="9" t="inlineStr">
        <is>
          <t>Dividend Payout Ratio</t>
        </is>
      </c>
      <c r="B24" s="10" t="inlineStr">
        <is>
          <t>%</t>
        </is>
      </c>
      <c r="C24" s="11" t="n">
        <v>0.2</v>
      </c>
      <c r="D24" s="11" t="n">
        <v>0.2</v>
      </c>
      <c r="E24" s="11" t="n">
        <v>0.25</v>
      </c>
      <c r="F24" s="11" t="n">
        <v>0.25</v>
      </c>
      <c r="G24" s="11" t="n">
        <v>0.3</v>
      </c>
    </row>
    <row r="25">
      <c r="A25" s="6" t="inlineStr">
        <is>
          <t>Opening Cash &amp; Equivalents</t>
        </is>
      </c>
      <c r="B25" s="7" t="inlineStr">
        <is>
          <t>₹L</t>
        </is>
      </c>
      <c r="C25" s="8" t="n">
        <v>40</v>
      </c>
      <c r="D25" s="8" t="n"/>
      <c r="E25" s="8" t="n"/>
      <c r="F25" s="8" t="n"/>
      <c r="G25" s="8" t="n"/>
    </row>
  </sheetData>
  <mergeCells count="5">
    <mergeCell ref="A4:H4"/>
    <mergeCell ref="A15:H15"/>
    <mergeCell ref="A7:H7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F9E"/>
    <outlinePr summaryBelow="1" summaryRight="1"/>
    <pageSetUpPr/>
  </sheetPr>
  <dimension ref="A1:G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2" customHeight="1">
      <c r="A1" s="1" t="inlineStr">
        <is>
          <t>INCOME STATEMENT</t>
        </is>
      </c>
    </row>
    <row r="2">
      <c r="A2" s="2" t="inlineStr">
        <is>
          <t>₹ Lakhs  |  Linked to Assumptions sheet  |  Green text = cross-sheet links</t>
        </is>
      </c>
    </row>
    <row r="3" ht="20" customHeight="1">
      <c r="A3" s="3" t="inlineStr">
        <is>
          <t>Line Item</t>
        </is>
      </c>
      <c r="B3" s="17" t="inlineStr">
        <is>
          <t>Note</t>
        </is>
      </c>
      <c r="C3" s="4" t="inlineStr">
        <is>
          <t>FY2023</t>
        </is>
      </c>
      <c r="D3" s="4" t="inlineStr">
        <is>
          <t>FY2024</t>
        </is>
      </c>
      <c r="E3" s="4" t="inlineStr">
        <is>
          <t>FY2025E</t>
        </is>
      </c>
      <c r="F3" s="4" t="inlineStr">
        <is>
          <t>FY2026E</t>
        </is>
      </c>
      <c r="G3" s="4" t="inlineStr">
        <is>
          <t>FY2027E</t>
        </is>
      </c>
    </row>
    <row r="4">
      <c r="A4" s="18" t="inlineStr">
        <is>
          <t>Revenue (₹ Lakhs)</t>
        </is>
      </c>
      <c r="B4" s="19" t="inlineStr">
        <is>
          <t>AS1</t>
        </is>
      </c>
      <c r="C4" s="20">
        <f>Assumptions!C5</f>
        <v/>
      </c>
      <c r="D4" s="20">
        <f>Assumptions!D5</f>
        <v/>
      </c>
      <c r="E4" s="20">
        <f>Assumptions!E5</f>
        <v/>
      </c>
      <c r="F4" s="20">
        <f>Assumptions!F5</f>
        <v/>
      </c>
      <c r="G4" s="20">
        <f>Assumptions!G5</f>
        <v/>
      </c>
    </row>
    <row r="5">
      <c r="A5" s="21" t="inlineStr">
        <is>
          <t xml:space="preserve">  Less: Cost of Goods Sold</t>
        </is>
      </c>
      <c r="B5" s="22" t="inlineStr">
        <is>
          <t>AS2</t>
        </is>
      </c>
      <c r="C5" s="23">
        <f>-Assumptions!C8*Assumptions!C5</f>
        <v/>
      </c>
      <c r="D5" s="23">
        <f>-Assumptions!D8*Assumptions!D5</f>
        <v/>
      </c>
      <c r="E5" s="23">
        <f>-Assumptions!E8*Assumptions!E5</f>
        <v/>
      </c>
      <c r="F5" s="23">
        <f>-Assumptions!F8*Assumptions!F5</f>
        <v/>
      </c>
      <c r="G5" s="23">
        <f>-Assumptions!G8*Assumptions!G5</f>
        <v/>
      </c>
    </row>
    <row r="6" ht="17" customHeight="1">
      <c r="A6" s="24" t="inlineStr">
        <is>
          <t>GROSS PROFIT</t>
        </is>
      </c>
      <c r="B6" s="19" t="inlineStr"/>
      <c r="C6" s="25">
        <f>C4+C5</f>
        <v/>
      </c>
      <c r="D6" s="25">
        <f>D4+D5</f>
        <v/>
      </c>
      <c r="E6" s="25">
        <f>E4+E5</f>
        <v/>
      </c>
      <c r="F6" s="25">
        <f>F4+F5</f>
        <v/>
      </c>
      <c r="G6" s="25">
        <f>G4+G5</f>
        <v/>
      </c>
    </row>
    <row r="7">
      <c r="A7" s="26" t="inlineStr">
        <is>
          <t xml:space="preserve">  Gross Margin %</t>
        </is>
      </c>
      <c r="B7" s="27" t="inlineStr"/>
      <c r="C7" s="12">
        <f>C6/C4</f>
        <v/>
      </c>
      <c r="D7" s="12">
        <f>D6/D4</f>
        <v/>
      </c>
      <c r="E7" s="12">
        <f>E6/E4</f>
        <v/>
      </c>
      <c r="F7" s="12">
        <f>F6/F4</f>
        <v/>
      </c>
      <c r="G7" s="12">
        <f>G6/G4</f>
        <v/>
      </c>
    </row>
    <row r="8">
      <c r="A8" s="28" t="inlineStr">
        <is>
          <t xml:space="preserve">  Less: Operating Expenses</t>
        </is>
      </c>
      <c r="B8" s="27" t="inlineStr">
        <is>
          <t>AS3</t>
        </is>
      </c>
      <c r="C8" s="29">
        <f>-Assumptions!C10*Assumptions!C5</f>
        <v/>
      </c>
      <c r="D8" s="29">
        <f>-Assumptions!D10*Assumptions!D5</f>
        <v/>
      </c>
      <c r="E8" s="29">
        <f>-Assumptions!E10*Assumptions!E5</f>
        <v/>
      </c>
      <c r="F8" s="29">
        <f>-Assumptions!F10*Assumptions!F5</f>
        <v/>
      </c>
      <c r="G8" s="29">
        <f>-Assumptions!G10*Assumptions!G5</f>
        <v/>
      </c>
    </row>
    <row r="9">
      <c r="A9" s="30" t="inlineStr">
        <is>
          <t>EBITDA</t>
        </is>
      </c>
      <c r="B9" s="19" t="inlineStr"/>
      <c r="C9" s="25">
        <f>C6+C8</f>
        <v/>
      </c>
      <c r="D9" s="25">
        <f>D6+D8</f>
        <v/>
      </c>
      <c r="E9" s="25">
        <f>E6+E8</f>
        <v/>
      </c>
      <c r="F9" s="25">
        <f>F6+F8</f>
        <v/>
      </c>
      <c r="G9" s="25">
        <f>G6+G8</f>
        <v/>
      </c>
    </row>
    <row r="10">
      <c r="A10" s="26" t="inlineStr">
        <is>
          <t xml:space="preserve">  EBITDA Margin %</t>
        </is>
      </c>
      <c r="B10" s="27" t="inlineStr"/>
      <c r="C10" s="12">
        <f>C9/C4</f>
        <v/>
      </c>
      <c r="D10" s="12">
        <f>D9/D4</f>
        <v/>
      </c>
      <c r="E10" s="12">
        <f>E9/E4</f>
        <v/>
      </c>
      <c r="F10" s="12">
        <f>F9/F4</f>
        <v/>
      </c>
      <c r="G10" s="12">
        <f>G9/G4</f>
        <v/>
      </c>
    </row>
    <row r="11">
      <c r="A11" s="21" t="inlineStr">
        <is>
          <t xml:space="preserve">  Less: Depreciation &amp; Amortisation</t>
        </is>
      </c>
      <c r="B11" s="22" t="inlineStr">
        <is>
          <t>AS4</t>
        </is>
      </c>
      <c r="C11" s="23">
        <f>-Assumptions!C12*Assumptions!C20</f>
        <v/>
      </c>
      <c r="D11" s="23">
        <f>-Assumptions!D12*Assumptions!D20</f>
        <v/>
      </c>
      <c r="E11" s="23">
        <f>-Assumptions!E12*Assumptions!E20</f>
        <v/>
      </c>
      <c r="F11" s="23">
        <f>-Assumptions!F12*Assumptions!F20</f>
        <v/>
      </c>
      <c r="G11" s="23">
        <f>-Assumptions!G12*Assumptions!G20</f>
        <v/>
      </c>
    </row>
    <row r="12">
      <c r="A12" s="30" t="inlineStr">
        <is>
          <t>EBIT (Operating Profit)</t>
        </is>
      </c>
      <c r="B12" s="19" t="inlineStr"/>
      <c r="C12" s="25">
        <f>C9+C11</f>
        <v/>
      </c>
      <c r="D12" s="25">
        <f>D9+D11</f>
        <v/>
      </c>
      <c r="E12" s="25">
        <f>E9+E11</f>
        <v/>
      </c>
      <c r="F12" s="25">
        <f>F9+F11</f>
        <v/>
      </c>
      <c r="G12" s="25">
        <f>G9+G11</f>
        <v/>
      </c>
    </row>
    <row r="13">
      <c r="A13" s="26" t="inlineStr">
        <is>
          <t xml:space="preserve">  EBIT Margin %</t>
        </is>
      </c>
      <c r="B13" s="27" t="inlineStr"/>
      <c r="C13" s="12">
        <f>C12/C4</f>
        <v/>
      </c>
      <c r="D13" s="12">
        <f>D12/D4</f>
        <v/>
      </c>
      <c r="E13" s="12">
        <f>E12/E4</f>
        <v/>
      </c>
      <c r="F13" s="12">
        <f>F12/F4</f>
        <v/>
      </c>
      <c r="G13" s="12">
        <f>G12/G4</f>
        <v/>
      </c>
    </row>
    <row r="14">
      <c r="A14" s="28" t="inlineStr">
        <is>
          <t xml:space="preserve">  Less: Interest Expense</t>
        </is>
      </c>
      <c r="B14" s="27" t="inlineStr">
        <is>
          <t>AS5</t>
        </is>
      </c>
      <c r="C14" s="29">
        <f>-Assumptions!C13*Assumptions!C21</f>
        <v/>
      </c>
      <c r="D14" s="29">
        <f>-Assumptions!D13*Assumptions!D21</f>
        <v/>
      </c>
      <c r="E14" s="29">
        <f>-Assumptions!E13*Assumptions!E21</f>
        <v/>
      </c>
      <c r="F14" s="29">
        <f>-Assumptions!F13*Assumptions!F21</f>
        <v/>
      </c>
      <c r="G14" s="29">
        <f>-Assumptions!G13*Assumptions!G21</f>
        <v/>
      </c>
    </row>
    <row r="15">
      <c r="A15" s="30" t="inlineStr">
        <is>
          <t>EBT (Profit Before Tax)</t>
        </is>
      </c>
      <c r="B15" s="19" t="inlineStr"/>
      <c r="C15" s="25">
        <f>C12+C14</f>
        <v/>
      </c>
      <c r="D15" s="25">
        <f>D12+D14</f>
        <v/>
      </c>
      <c r="E15" s="25">
        <f>E12+E14</f>
        <v/>
      </c>
      <c r="F15" s="25">
        <f>F12+F14</f>
        <v/>
      </c>
      <c r="G15" s="25">
        <f>G12+G14</f>
        <v/>
      </c>
    </row>
    <row r="16">
      <c r="A16" s="28" t="inlineStr">
        <is>
          <t xml:space="preserve">  Less: Income Tax</t>
        </is>
      </c>
      <c r="B16" s="27" t="inlineStr">
        <is>
          <t>AS6</t>
        </is>
      </c>
      <c r="C16" s="29">
        <f>-MAX(C15,0)*Assumptions!C14</f>
        <v/>
      </c>
      <c r="D16" s="29">
        <f>-MAX(D15,0)*Assumptions!D14</f>
        <v/>
      </c>
      <c r="E16" s="29">
        <f>-MAX(E15,0)*Assumptions!E14</f>
        <v/>
      </c>
      <c r="F16" s="29">
        <f>-MAX(F15,0)*Assumptions!F14</f>
        <v/>
      </c>
      <c r="G16" s="29">
        <f>-MAX(G15,0)*Assumptions!G14</f>
        <v/>
      </c>
    </row>
    <row r="17" ht="17" customHeight="1">
      <c r="A17" s="31" t="inlineStr">
        <is>
          <t>NET PROFIT AFTER TAX (PAT)</t>
        </is>
      </c>
      <c r="B17" s="32" t="inlineStr"/>
      <c r="C17" s="33">
        <f>C15+C16</f>
        <v/>
      </c>
      <c r="D17" s="33">
        <f>D15+D16</f>
        <v/>
      </c>
      <c r="E17" s="33">
        <f>E15+E16</f>
        <v/>
      </c>
      <c r="F17" s="33">
        <f>F15+F16</f>
        <v/>
      </c>
      <c r="G17" s="33">
        <f>G15+G16</f>
        <v/>
      </c>
    </row>
    <row r="18">
      <c r="A18" s="26" t="inlineStr">
        <is>
          <t xml:space="preserve">  Net Profit Margin %</t>
        </is>
      </c>
      <c r="B18" s="27" t="inlineStr"/>
      <c r="C18" s="12">
        <f>C17/C4</f>
        <v/>
      </c>
      <c r="D18" s="12">
        <f>D17/D4</f>
        <v/>
      </c>
      <c r="E18" s="12">
        <f>E17/E4</f>
        <v/>
      </c>
      <c r="F18" s="12">
        <f>F17/F4</f>
        <v/>
      </c>
      <c r="G18" s="12">
        <f>G17/G4</f>
        <v/>
      </c>
    </row>
    <row r="19">
      <c r="A19" s="21" t="inlineStr">
        <is>
          <t xml:space="preserve">  Less: Dividends Paid</t>
        </is>
      </c>
      <c r="B19" s="22" t="inlineStr">
        <is>
          <t>AS7</t>
        </is>
      </c>
      <c r="C19" s="23">
        <f>-MAX(C17,0)*Assumptions!C24</f>
        <v/>
      </c>
      <c r="D19" s="23">
        <f>-MAX(D17,0)*Assumptions!D24</f>
        <v/>
      </c>
      <c r="E19" s="23">
        <f>-MAX(E17,0)*Assumptions!E24</f>
        <v/>
      </c>
      <c r="F19" s="23">
        <f>-MAX(F17,0)*Assumptions!F24</f>
        <v/>
      </c>
      <c r="G19" s="23">
        <f>-MAX(G17,0)*Assumptions!G24</f>
        <v/>
      </c>
    </row>
    <row r="20">
      <c r="A20" s="34" t="inlineStr">
        <is>
          <t xml:space="preserve">  Retained Earnings Addition</t>
        </is>
      </c>
      <c r="B20" s="32" t="inlineStr"/>
      <c r="C20" s="33">
        <f>C17+C19</f>
        <v/>
      </c>
      <c r="D20" s="33">
        <f>D17+D19</f>
        <v/>
      </c>
      <c r="E20" s="33">
        <f>E17+E19</f>
        <v/>
      </c>
      <c r="F20" s="33">
        <f>F17+F19</f>
        <v/>
      </c>
      <c r="G20" s="33">
        <f>G17+G19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G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2" customHeight="1">
      <c r="A1" s="1" t="inlineStr">
        <is>
          <t>BALANCE SHEET</t>
        </is>
      </c>
    </row>
    <row r="2">
      <c r="A2" s="2" t="inlineStr">
        <is>
          <t>₹ Lakhs  |  Fully linked to IS and CF  |  Check row verifies Assets = Liabilities + Equity</t>
        </is>
      </c>
    </row>
    <row r="3" ht="20" customHeight="1">
      <c r="A3" s="3" t="inlineStr">
        <is>
          <t>Line Item</t>
        </is>
      </c>
      <c r="B3" s="17" t="inlineStr">
        <is>
          <t>Note</t>
        </is>
      </c>
      <c r="C3" s="4" t="inlineStr">
        <is>
          <t>FY2023</t>
        </is>
      </c>
      <c r="D3" s="4" t="inlineStr">
        <is>
          <t>FY2024</t>
        </is>
      </c>
      <c r="E3" s="4" t="inlineStr">
        <is>
          <t>FY2025E</t>
        </is>
      </c>
      <c r="F3" s="4" t="inlineStr">
        <is>
          <t>FY2026E</t>
        </is>
      </c>
      <c r="G3" s="4" t="inlineStr">
        <is>
          <t>FY2027E</t>
        </is>
      </c>
    </row>
    <row r="4" ht="17" customHeight="1">
      <c r="A4" s="31" t="inlineStr">
        <is>
          <t>ASSETS</t>
        </is>
      </c>
      <c r="B4" s="35" t="n"/>
      <c r="C4" s="35" t="n"/>
      <c r="D4" s="35" t="n"/>
      <c r="E4" s="35" t="n"/>
      <c r="F4" s="35" t="n"/>
      <c r="G4" s="35" t="n"/>
    </row>
    <row r="5" ht="17" customHeight="1">
      <c r="A5" s="36" t="inlineStr">
        <is>
          <t>Current Assets</t>
        </is>
      </c>
      <c r="B5" s="37" t="n"/>
      <c r="C5" s="37" t="n"/>
      <c r="D5" s="37" t="n"/>
      <c r="E5" s="37" t="n"/>
      <c r="F5" s="37" t="n"/>
      <c r="G5" s="37" t="n"/>
    </row>
    <row r="6">
      <c r="A6" s="28" t="inlineStr">
        <is>
          <t xml:space="preserve">  Trade Receivables</t>
        </is>
      </c>
      <c r="B6" s="27" t="inlineStr">
        <is>
          <t>DSO</t>
        </is>
      </c>
      <c r="C6" s="29">
        <f>Assumptions!C16/365*'Income Statement'!C4</f>
        <v/>
      </c>
      <c r="D6" s="29">
        <f>Assumptions!D16/365*'Income Statement'!D4</f>
        <v/>
      </c>
      <c r="E6" s="29">
        <f>Assumptions!E16/365*'Income Statement'!E4</f>
        <v/>
      </c>
      <c r="F6" s="29">
        <f>Assumptions!F16/365*'Income Statement'!F4</f>
        <v/>
      </c>
      <c r="G6" s="29">
        <f>Assumptions!G16/365*'Income Statement'!G4</f>
        <v/>
      </c>
    </row>
    <row r="7">
      <c r="A7" s="21" t="inlineStr">
        <is>
          <t xml:space="preserve">  Inventories</t>
        </is>
      </c>
      <c r="B7" s="22" t="inlineStr">
        <is>
          <t>DIO</t>
        </is>
      </c>
      <c r="C7" s="23">
        <f>Assumptions!C17/365*(-'Income Statement'!C5)</f>
        <v/>
      </c>
      <c r="D7" s="23">
        <f>Assumptions!D17/365*(-'Income Statement'!D5)</f>
        <v/>
      </c>
      <c r="E7" s="23">
        <f>Assumptions!E17/365*(-'Income Statement'!E5)</f>
        <v/>
      </c>
      <c r="F7" s="23">
        <f>Assumptions!F17/365*(-'Income Statement'!F5)</f>
        <v/>
      </c>
      <c r="G7" s="23">
        <f>Assumptions!G17/365*(-'Income Statement'!G5)</f>
        <v/>
      </c>
    </row>
    <row r="8">
      <c r="A8" s="38" t="inlineStr">
        <is>
          <t xml:space="preserve">  Other Current Assets</t>
        </is>
      </c>
      <c r="B8" s="27" t="inlineStr"/>
      <c r="C8" s="15" t="n">
        <v>10</v>
      </c>
      <c r="D8" s="15" t="n">
        <v>12</v>
      </c>
      <c r="E8" s="15" t="n">
        <v>14</v>
      </c>
      <c r="F8" s="15" t="n">
        <v>16</v>
      </c>
      <c r="G8" s="15" t="n">
        <v>18</v>
      </c>
    </row>
    <row r="9">
      <c r="A9" s="21" t="inlineStr">
        <is>
          <t xml:space="preserve">  Cash &amp; Cash Equivalents</t>
        </is>
      </c>
      <c r="B9" s="22" t="inlineStr">
        <is>
          <t>CF</t>
        </is>
      </c>
      <c r="C9" s="23">
        <f>Assumptions!C25</f>
        <v/>
      </c>
      <c r="D9" s="23">
        <f>'Cash Flow Statement'!D22</f>
        <v/>
      </c>
      <c r="E9" s="23">
        <f>'Cash Flow Statement'!E22</f>
        <v/>
      </c>
      <c r="F9" s="23">
        <f>'Cash Flow Statement'!F22</f>
        <v/>
      </c>
      <c r="G9" s="23">
        <f>'Cash Flow Statement'!G22</f>
        <v/>
      </c>
    </row>
    <row r="10">
      <c r="A10" s="30" t="inlineStr">
        <is>
          <t>TOTAL CURRENT ASSETS</t>
        </is>
      </c>
      <c r="B10" s="19" t="inlineStr"/>
      <c r="C10" s="25">
        <f>SUM(C6:C9)</f>
        <v/>
      </c>
      <c r="D10" s="25">
        <f>SUM(D6:D9)</f>
        <v/>
      </c>
      <c r="E10" s="25">
        <f>SUM(E6:E9)</f>
        <v/>
      </c>
      <c r="F10" s="25">
        <f>SUM(F6:F9)</f>
        <v/>
      </c>
      <c r="G10" s="25">
        <f>SUM(G6:G9)</f>
        <v/>
      </c>
    </row>
    <row r="11" ht="17" customHeight="1">
      <c r="A11" s="36" t="inlineStr">
        <is>
          <t>Non-Current Assets</t>
        </is>
      </c>
      <c r="B11" s="37" t="n"/>
      <c r="C11" s="37" t="n"/>
      <c r="D11" s="37" t="n"/>
      <c r="E11" s="37" t="n"/>
      <c r="F11" s="37" t="n"/>
      <c r="G11" s="37" t="n"/>
    </row>
    <row r="12">
      <c r="A12" s="28" t="inlineStr">
        <is>
          <t xml:space="preserve">  Gross Fixed Assets</t>
        </is>
      </c>
      <c r="B12" s="27" t="inlineStr">
        <is>
          <t>Capex</t>
        </is>
      </c>
      <c r="C12" s="29">
        <f>Assumptions!C20+Assumptions!C19</f>
        <v/>
      </c>
      <c r="D12" s="29">
        <f>Assumptions!D20+Assumptions!D19</f>
        <v/>
      </c>
      <c r="E12" s="29">
        <f>Assumptions!E20+Assumptions!E19</f>
        <v/>
      </c>
      <c r="F12" s="29">
        <f>Assumptions!F20+Assumptions!F19</f>
        <v/>
      </c>
      <c r="G12" s="29">
        <f>Assumptions!G20+Assumptions!G19</f>
        <v/>
      </c>
    </row>
    <row r="13">
      <c r="A13" s="39" t="inlineStr">
        <is>
          <t xml:space="preserve">  Less: Accumulated Depreciation</t>
        </is>
      </c>
      <c r="B13" s="22" t="inlineStr"/>
      <c r="C13" s="23">
        <f>-Assumptions!C12*Assumptions!C20</f>
        <v/>
      </c>
      <c r="D13" s="40">
        <f>C13-Assumptions!D12*Assumptions!D20</f>
        <v/>
      </c>
      <c r="E13" s="40">
        <f>D13-Assumptions!E12*Assumptions!E20</f>
        <v/>
      </c>
      <c r="F13" s="40">
        <f>E13-Assumptions!F12*Assumptions!F20</f>
        <v/>
      </c>
      <c r="G13" s="40">
        <f>F13-Assumptions!G12*Assumptions!G20</f>
        <v/>
      </c>
    </row>
    <row r="14">
      <c r="A14" s="26" t="inlineStr">
        <is>
          <t xml:space="preserve">  Net Fixed Assets (Net Block)</t>
        </is>
      </c>
      <c r="B14" s="27" t="inlineStr"/>
      <c r="C14" s="16">
        <f>C12+C13</f>
        <v/>
      </c>
      <c r="D14" s="16">
        <f>D12+D13</f>
        <v/>
      </c>
      <c r="E14" s="16">
        <f>E12+E13</f>
        <v/>
      </c>
      <c r="F14" s="16">
        <f>F12+F13</f>
        <v/>
      </c>
      <c r="G14" s="16">
        <f>G12+G13</f>
        <v/>
      </c>
    </row>
    <row r="15">
      <c r="A15" s="41" t="inlineStr">
        <is>
          <t xml:space="preserve">  Other Non-Current Assets</t>
        </is>
      </c>
      <c r="B15" s="22" t="inlineStr"/>
      <c r="C15" s="8" t="n">
        <v>15</v>
      </c>
      <c r="D15" s="8" t="n">
        <v>15</v>
      </c>
      <c r="E15" s="8" t="n">
        <v>20</v>
      </c>
      <c r="F15" s="8" t="n">
        <v>20</v>
      </c>
      <c r="G15" s="8" t="n">
        <v>20</v>
      </c>
    </row>
    <row r="16">
      <c r="A16" s="30" t="inlineStr">
        <is>
          <t>TOTAL NON-CURRENT ASSETS</t>
        </is>
      </c>
      <c r="B16" s="19" t="inlineStr"/>
      <c r="C16" s="25">
        <f>C14+C15</f>
        <v/>
      </c>
      <c r="D16" s="25">
        <f>D14+D15</f>
        <v/>
      </c>
      <c r="E16" s="25">
        <f>E14+E15</f>
        <v/>
      </c>
      <c r="F16" s="25">
        <f>F14+F15</f>
        <v/>
      </c>
      <c r="G16" s="25">
        <f>G14+G15</f>
        <v/>
      </c>
    </row>
    <row r="17" ht="17" customHeight="1">
      <c r="A17" s="42" t="inlineStr">
        <is>
          <t>TOTAL ASSETS</t>
        </is>
      </c>
      <c r="B17" s="19" t="inlineStr"/>
      <c r="C17" s="43">
        <f>C10+C16</f>
        <v/>
      </c>
      <c r="D17" s="43">
        <f>D10+D16</f>
        <v/>
      </c>
      <c r="E17" s="43">
        <f>E10+E16</f>
        <v/>
      </c>
      <c r="F17" s="43">
        <f>F10+F16</f>
        <v/>
      </c>
      <c r="G17" s="43">
        <f>G10+G16</f>
        <v/>
      </c>
    </row>
    <row r="18" ht="17" customHeight="1">
      <c r="A18" s="31" t="inlineStr">
        <is>
          <t>LIABILITIES &amp; EQUITY</t>
        </is>
      </c>
      <c r="B18" s="35" t="n"/>
      <c r="C18" s="35" t="n"/>
      <c r="D18" s="35" t="n"/>
      <c r="E18" s="35" t="n"/>
      <c r="F18" s="35" t="n"/>
      <c r="G18" s="35" t="n"/>
    </row>
    <row r="19" ht="17" customHeight="1">
      <c r="A19" s="36" t="inlineStr">
        <is>
          <t>Current Liabilities</t>
        </is>
      </c>
      <c r="B19" s="37" t="n"/>
      <c r="C19" s="37" t="n"/>
      <c r="D19" s="37" t="n"/>
      <c r="E19" s="37" t="n"/>
      <c r="F19" s="37" t="n"/>
      <c r="G19" s="37" t="n"/>
    </row>
    <row r="20">
      <c r="A20" s="28" t="inlineStr">
        <is>
          <t xml:space="preserve">  Trade Payables</t>
        </is>
      </c>
      <c r="B20" s="27" t="inlineStr">
        <is>
          <t>DPO</t>
        </is>
      </c>
      <c r="C20" s="29">
        <f>Assumptions!C18/365*(-'Income Statement'!C5)</f>
        <v/>
      </c>
      <c r="D20" s="29">
        <f>Assumptions!D18/365*(-'Income Statement'!D5)</f>
        <v/>
      </c>
      <c r="E20" s="29">
        <f>Assumptions!E18/365*(-'Income Statement'!E5)</f>
        <v/>
      </c>
      <c r="F20" s="29">
        <f>Assumptions!F18/365*(-'Income Statement'!F5)</f>
        <v/>
      </c>
      <c r="G20" s="29">
        <f>Assumptions!G18/365*(-'Income Statement'!G5)</f>
        <v/>
      </c>
    </row>
    <row r="21">
      <c r="A21" s="38" t="inlineStr">
        <is>
          <t xml:space="preserve">  Other Current Liabilities</t>
        </is>
      </c>
      <c r="B21" s="27" t="inlineStr"/>
      <c r="C21" s="15" t="n">
        <v>8</v>
      </c>
      <c r="D21" s="15" t="n">
        <v>9</v>
      </c>
      <c r="E21" s="15" t="n">
        <v>10</v>
      </c>
      <c r="F21" s="15" t="n">
        <v>11</v>
      </c>
      <c r="G21" s="15" t="n">
        <v>12</v>
      </c>
    </row>
    <row r="22">
      <c r="A22" s="28" t="inlineStr">
        <is>
          <t xml:space="preserve">  Current Portion of Debt</t>
        </is>
      </c>
      <c r="B22" s="27" t="inlineStr">
        <is>
          <t>Repmt</t>
        </is>
      </c>
      <c r="C22" s="29">
        <f>Assumptions!C22</f>
        <v/>
      </c>
      <c r="D22" s="29">
        <f>Assumptions!D22</f>
        <v/>
      </c>
      <c r="E22" s="29">
        <f>Assumptions!E22</f>
        <v/>
      </c>
      <c r="F22" s="29">
        <f>Assumptions!F22</f>
        <v/>
      </c>
      <c r="G22" s="29">
        <f>Assumptions!G22</f>
        <v/>
      </c>
    </row>
    <row r="23">
      <c r="A23" s="44" t="inlineStr">
        <is>
          <t>TOTAL CURRENT LIABILITIES</t>
        </is>
      </c>
      <c r="B23" s="45" t="inlineStr"/>
      <c r="C23" s="46">
        <f>SUM(C20:C22)</f>
        <v/>
      </c>
      <c r="D23" s="46">
        <f>SUM(D20:D22)</f>
        <v/>
      </c>
      <c r="E23" s="46">
        <f>SUM(E20:E22)</f>
        <v/>
      </c>
      <c r="F23" s="46">
        <f>SUM(F20:F22)</f>
        <v/>
      </c>
      <c r="G23" s="46">
        <f>SUM(G20:G22)</f>
        <v/>
      </c>
    </row>
    <row r="24" ht="17" customHeight="1">
      <c r="A24" s="36" t="inlineStr">
        <is>
          <t>Non-Current Liabilities</t>
        </is>
      </c>
      <c r="B24" s="37" t="n"/>
      <c r="C24" s="37" t="n"/>
      <c r="D24" s="37" t="n"/>
      <c r="E24" s="37" t="n"/>
      <c r="F24" s="37" t="n"/>
      <c r="G24" s="37" t="n"/>
    </row>
    <row r="25">
      <c r="A25" s="39" t="inlineStr">
        <is>
          <t xml:space="preserve">  Long-Term Debt</t>
        </is>
      </c>
      <c r="B25" s="22" t="inlineStr"/>
      <c r="C25" s="23">
        <f>Assumptions!C21</f>
        <v/>
      </c>
      <c r="D25" s="40">
        <f>C25-Assumptions!D22+Assumptions!D23</f>
        <v/>
      </c>
      <c r="E25" s="40">
        <f>D25-Assumptions!E22+Assumptions!E23</f>
        <v/>
      </c>
      <c r="F25" s="40">
        <f>E25-Assumptions!F22+Assumptions!F23</f>
        <v/>
      </c>
      <c r="G25" s="40">
        <f>F25-Assumptions!G22+Assumptions!G23</f>
        <v/>
      </c>
    </row>
    <row r="26">
      <c r="A26" s="44" t="inlineStr">
        <is>
          <t>TOTAL NON-CURRENT LIABILITIES</t>
        </is>
      </c>
      <c r="B26" s="45" t="inlineStr"/>
      <c r="C26" s="46">
        <f>C25</f>
        <v/>
      </c>
      <c r="D26" s="46">
        <f>D25</f>
        <v/>
      </c>
      <c r="E26" s="46">
        <f>E25</f>
        <v/>
      </c>
      <c r="F26" s="46">
        <f>F25</f>
        <v/>
      </c>
      <c r="G26" s="46">
        <f>G25</f>
        <v/>
      </c>
    </row>
    <row r="27" ht="17" customHeight="1">
      <c r="A27" s="36" t="inlineStr">
        <is>
          <t>Shareholders' Equity</t>
        </is>
      </c>
      <c r="B27" s="37" t="n"/>
      <c r="C27" s="37" t="n"/>
      <c r="D27" s="37" t="n"/>
      <c r="E27" s="37" t="n"/>
      <c r="F27" s="37" t="n"/>
      <c r="G27" s="37" t="n"/>
    </row>
    <row r="28">
      <c r="A28" s="38" t="inlineStr">
        <is>
          <t xml:space="preserve">  Share Capital</t>
        </is>
      </c>
      <c r="B28" s="27" t="inlineStr">
        <is>
          <t>Stub</t>
        </is>
      </c>
      <c r="C28" s="15" t="n">
        <v>50</v>
      </c>
      <c r="D28" s="15" t="n">
        <v>50</v>
      </c>
      <c r="E28" s="15" t="n">
        <v>50</v>
      </c>
      <c r="F28" s="15" t="n">
        <v>50</v>
      </c>
      <c r="G28" s="15" t="n">
        <v>50</v>
      </c>
    </row>
    <row r="29">
      <c r="A29" s="39" t="inlineStr">
        <is>
          <t xml:space="preserve">  Retained Earnings</t>
        </is>
      </c>
      <c r="B29" s="22" t="inlineStr"/>
      <c r="C29" s="23">
        <f>'Income Statement'!C20</f>
        <v/>
      </c>
      <c r="D29" s="40">
        <f>C29+'Income Statement'!D20</f>
        <v/>
      </c>
      <c r="E29" s="40">
        <f>D29+'Income Statement'!E20</f>
        <v/>
      </c>
      <c r="F29" s="40">
        <f>E29+'Income Statement'!F20</f>
        <v/>
      </c>
      <c r="G29" s="40">
        <f>F29+'Income Statement'!G20</f>
        <v/>
      </c>
    </row>
    <row r="30">
      <c r="A30" s="34" t="inlineStr">
        <is>
          <t>TOTAL EQUITY</t>
        </is>
      </c>
      <c r="B30" s="32" t="inlineStr"/>
      <c r="C30" s="33">
        <f>C28+C29</f>
        <v/>
      </c>
      <c r="D30" s="33">
        <f>D28+D29</f>
        <v/>
      </c>
      <c r="E30" s="33">
        <f>E28+E29</f>
        <v/>
      </c>
      <c r="F30" s="33">
        <f>F28+F29</f>
        <v/>
      </c>
      <c r="G30" s="33">
        <f>G28+G29</f>
        <v/>
      </c>
    </row>
    <row r="31" ht="17" customHeight="1">
      <c r="A31" s="42" t="inlineStr">
        <is>
          <t>TOTAL LIABILITIES + EQUITY</t>
        </is>
      </c>
      <c r="B31" s="22" t="inlineStr"/>
      <c r="C31" s="43">
        <f>C23+C26+C30</f>
        <v/>
      </c>
      <c r="D31" s="43">
        <f>D23+D26+D30</f>
        <v/>
      </c>
      <c r="E31" s="43">
        <f>E23+E26+E30</f>
        <v/>
      </c>
      <c r="F31" s="43">
        <f>F23+F26+F30</f>
        <v/>
      </c>
      <c r="G31" s="43">
        <f>G23+G26+G30</f>
        <v/>
      </c>
    </row>
    <row r="32" ht="17" customHeight="1">
      <c r="A32" s="47" t="inlineStr">
        <is>
          <t>BS Check = Assets minus L+E  (must = 0)</t>
        </is>
      </c>
      <c r="B32" s="48" t="inlineStr"/>
      <c r="C32" s="49">
        <f>C17-C31</f>
        <v/>
      </c>
      <c r="D32" s="49">
        <f>D17-D31</f>
        <v/>
      </c>
      <c r="E32" s="49">
        <f>E17-E31</f>
        <v/>
      </c>
      <c r="F32" s="49">
        <f>F17-F31</f>
        <v/>
      </c>
      <c r="G32" s="49">
        <f>G17-G31</f>
        <v/>
      </c>
    </row>
  </sheetData>
  <mergeCells count="2">
    <mergeCell ref="A2:G2"/>
    <mergeCell ref="A1:G1"/>
  </mergeCells>
  <conditionalFormatting sqref="C32:G32">
    <cfRule type="expression" priority="1" dxfId="0">
      <formula>C32&lt;&gt;0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2" customHeight="1">
      <c r="A1" s="1" t="inlineStr">
        <is>
          <t>CASH FLOW STATEMENT — INDIRECT METHOD</t>
        </is>
      </c>
    </row>
    <row r="2">
      <c r="A2" s="2" t="inlineStr">
        <is>
          <t>₹ Lakhs  |  Indirect method  |  Closing Cash links back to Balance Sheet</t>
        </is>
      </c>
    </row>
    <row r="3" ht="20" customHeight="1">
      <c r="A3" s="3" t="inlineStr">
        <is>
          <t>Line Item</t>
        </is>
      </c>
      <c r="B3" s="17" t="inlineStr">
        <is>
          <t>Note</t>
        </is>
      </c>
      <c r="C3" s="4" t="inlineStr">
        <is>
          <t>FY2023</t>
        </is>
      </c>
      <c r="D3" s="4" t="inlineStr">
        <is>
          <t>FY2024</t>
        </is>
      </c>
      <c r="E3" s="4" t="inlineStr">
        <is>
          <t>FY2025E</t>
        </is>
      </c>
      <c r="F3" s="4" t="inlineStr">
        <is>
          <t>FY2026E</t>
        </is>
      </c>
      <c r="G3" s="4" t="inlineStr">
        <is>
          <t>FY2027E</t>
        </is>
      </c>
    </row>
    <row r="4" ht="17" customHeight="1">
      <c r="A4" s="36" t="inlineStr">
        <is>
          <t>A.  CASH FROM OPERATIONS (CFO)</t>
        </is>
      </c>
      <c r="B4" s="37" t="n"/>
      <c r="C4" s="37" t="n"/>
      <c r="D4" s="37" t="n"/>
      <c r="E4" s="37" t="n"/>
      <c r="F4" s="37" t="n"/>
      <c r="G4" s="37" t="n"/>
    </row>
    <row r="5">
      <c r="A5" s="21" t="inlineStr">
        <is>
          <t xml:space="preserve">  Net Profit After Tax (PAT)</t>
        </is>
      </c>
      <c r="B5" s="22" t="inlineStr">
        <is>
          <t>IS</t>
        </is>
      </c>
      <c r="C5" s="23">
        <f>'Income Statement'!C17</f>
        <v/>
      </c>
      <c r="D5" s="23">
        <f>'Income Statement'!D17</f>
        <v/>
      </c>
      <c r="E5" s="23">
        <f>'Income Statement'!E17</f>
        <v/>
      </c>
      <c r="F5" s="23">
        <f>'Income Statement'!F17</f>
        <v/>
      </c>
      <c r="G5" s="23">
        <f>'Income Statement'!G17</f>
        <v/>
      </c>
    </row>
    <row r="6">
      <c r="A6" s="28" t="inlineStr">
        <is>
          <t xml:space="preserve">  Add: Depreciation &amp; Amortisation</t>
        </is>
      </c>
      <c r="B6" s="27" t="inlineStr">
        <is>
          <t>IS</t>
        </is>
      </c>
      <c r="C6" s="29">
        <f>-'Income Statement'!C11</f>
        <v/>
      </c>
      <c r="D6" s="29">
        <f>-'Income Statement'!D11</f>
        <v/>
      </c>
      <c r="E6" s="29">
        <f>-'Income Statement'!E11</f>
        <v/>
      </c>
      <c r="F6" s="29">
        <f>-'Income Statement'!F11</f>
        <v/>
      </c>
      <c r="G6" s="29">
        <f>-'Income Statement'!G11</f>
        <v/>
      </c>
    </row>
    <row r="7" ht="17" customHeight="1">
      <c r="A7" s="50" t="inlineStr">
        <is>
          <t xml:space="preserve">  Working Capital Changes</t>
        </is>
      </c>
      <c r="B7" s="51" t="n"/>
      <c r="C7" s="51" t="n"/>
      <c r="D7" s="51" t="n"/>
      <c r="E7" s="51" t="n"/>
      <c r="F7" s="51" t="n"/>
      <c r="G7" s="51" t="n"/>
    </row>
    <row r="8">
      <c r="A8" s="52" t="inlineStr">
        <is>
          <t xml:space="preserve">  (Increase)/Decrease in Receivables</t>
        </is>
      </c>
      <c r="B8" s="27" t="inlineStr">
        <is>
          <t>WC</t>
        </is>
      </c>
      <c r="C8" s="53">
        <f>0</f>
        <v/>
      </c>
      <c r="D8" s="54">
        <f>-('Balance Sheet'!D6-'Balance Sheet'!C6)</f>
        <v/>
      </c>
      <c r="E8" s="54">
        <f>-('Balance Sheet'!E6-'Balance Sheet'!D6)</f>
        <v/>
      </c>
      <c r="F8" s="54">
        <f>-('Balance Sheet'!F6-'Balance Sheet'!E6)</f>
        <v/>
      </c>
      <c r="G8" s="54">
        <f>-('Balance Sheet'!G6-'Balance Sheet'!F6)</f>
        <v/>
      </c>
    </row>
    <row r="9">
      <c r="A9" s="55" t="inlineStr">
        <is>
          <t xml:space="preserve">  (Increase)/Decrease in Inventories</t>
        </is>
      </c>
      <c r="B9" s="22" t="inlineStr">
        <is>
          <t>WC</t>
        </is>
      </c>
      <c r="C9" s="56">
        <f>0</f>
        <v/>
      </c>
      <c r="D9" s="57">
        <f>-('Balance Sheet'!D7-'Balance Sheet'!C7)</f>
        <v/>
      </c>
      <c r="E9" s="57">
        <f>-('Balance Sheet'!E7-'Balance Sheet'!D7)</f>
        <v/>
      </c>
      <c r="F9" s="57">
        <f>-('Balance Sheet'!F7-'Balance Sheet'!E7)</f>
        <v/>
      </c>
      <c r="G9" s="57">
        <f>-('Balance Sheet'!G7-'Balance Sheet'!F7)</f>
        <v/>
      </c>
    </row>
    <row r="10">
      <c r="A10" s="52" t="inlineStr">
        <is>
          <t xml:space="preserve">  Increase/(Decrease) in Payables</t>
        </is>
      </c>
      <c r="B10" s="27" t="inlineStr">
        <is>
          <t>WC</t>
        </is>
      </c>
      <c r="C10" s="53">
        <f>0</f>
        <v/>
      </c>
      <c r="D10" s="54">
        <f>'Balance Sheet'!D20-'Balance Sheet'!C20</f>
        <v/>
      </c>
      <c r="E10" s="54">
        <f>'Balance Sheet'!E20-'Balance Sheet'!D20</f>
        <v/>
      </c>
      <c r="F10" s="54">
        <f>'Balance Sheet'!F20-'Balance Sheet'!E20</f>
        <v/>
      </c>
      <c r="G10" s="54">
        <f>'Balance Sheet'!G20-'Balance Sheet'!F20</f>
        <v/>
      </c>
    </row>
    <row r="11">
      <c r="A11" s="58" t="inlineStr">
        <is>
          <t>CASH FROM OPERATIONS (CFO)</t>
        </is>
      </c>
      <c r="B11" s="32" t="inlineStr"/>
      <c r="C11" s="33">
        <f>SUM(C5:C10)</f>
        <v/>
      </c>
      <c r="D11" s="33">
        <f>SUM(D5:D10)</f>
        <v/>
      </c>
      <c r="E11" s="33">
        <f>SUM(E5:E10)</f>
        <v/>
      </c>
      <c r="F11" s="33">
        <f>SUM(F5:F10)</f>
        <v/>
      </c>
      <c r="G11" s="33">
        <f>SUM(G5:G10)</f>
        <v/>
      </c>
    </row>
    <row r="12" ht="17" customHeight="1">
      <c r="A12" s="36" t="inlineStr">
        <is>
          <t>B.  CASH FROM INVESTING (CFI)</t>
        </is>
      </c>
      <c r="B12" s="37" t="n"/>
      <c r="C12" s="37" t="n"/>
      <c r="D12" s="37" t="n"/>
      <c r="E12" s="37" t="n"/>
      <c r="F12" s="37" t="n"/>
      <c r="G12" s="37" t="n"/>
    </row>
    <row r="13">
      <c r="A13" s="21" t="inlineStr">
        <is>
          <t xml:space="preserve">  Capital Expenditure (Capex)</t>
        </is>
      </c>
      <c r="B13" s="22" t="inlineStr">
        <is>
          <t>AS8</t>
        </is>
      </c>
      <c r="C13" s="23">
        <f>-Assumptions!C19</f>
        <v/>
      </c>
      <c r="D13" s="23">
        <f>-Assumptions!D19</f>
        <v/>
      </c>
      <c r="E13" s="23">
        <f>-Assumptions!E19</f>
        <v/>
      </c>
      <c r="F13" s="23">
        <f>-Assumptions!F19</f>
        <v/>
      </c>
      <c r="G13" s="23">
        <f>-Assumptions!G19</f>
        <v/>
      </c>
    </row>
    <row r="14">
      <c r="A14" s="38" t="inlineStr">
        <is>
          <t xml:space="preserve">  Proceeds from Asset Sales</t>
        </is>
      </c>
      <c r="B14" s="27" t="inlineStr"/>
      <c r="C14" s="15" t="n">
        <v>0</v>
      </c>
      <c r="D14" s="15" t="n">
        <v>0</v>
      </c>
      <c r="E14" s="15" t="n">
        <v>0</v>
      </c>
      <c r="F14" s="15" t="n">
        <v>0</v>
      </c>
      <c r="G14" s="15" t="n">
        <v>0</v>
      </c>
    </row>
    <row r="15">
      <c r="A15" s="59" t="inlineStr">
        <is>
          <t>CASH FROM INVESTING (CFI)</t>
        </is>
      </c>
      <c r="B15" s="45" t="inlineStr"/>
      <c r="C15" s="46">
        <f>SUM(C13:C14)</f>
        <v/>
      </c>
      <c r="D15" s="46">
        <f>SUM(D13:D14)</f>
        <v/>
      </c>
      <c r="E15" s="46">
        <f>SUM(E13:E14)</f>
        <v/>
      </c>
      <c r="F15" s="46">
        <f>SUM(F13:F14)</f>
        <v/>
      </c>
      <c r="G15" s="46">
        <f>SUM(G13:G14)</f>
        <v/>
      </c>
    </row>
    <row r="16" ht="17" customHeight="1">
      <c r="A16" s="36" t="inlineStr">
        <is>
          <t>C.  CASH FROM FINANCING (CFF)</t>
        </is>
      </c>
      <c r="B16" s="37" t="n"/>
      <c r="C16" s="37" t="n"/>
      <c r="D16" s="37" t="n"/>
      <c r="E16" s="37" t="n"/>
      <c r="F16" s="37" t="n"/>
      <c r="G16" s="37" t="n"/>
    </row>
    <row r="17">
      <c r="A17" s="21" t="inlineStr">
        <is>
          <t xml:space="preserve">  Debt Raised</t>
        </is>
      </c>
      <c r="B17" s="22" t="inlineStr">
        <is>
          <t>AS9</t>
        </is>
      </c>
      <c r="C17" s="23">
        <f>Assumptions!C23</f>
        <v/>
      </c>
      <c r="D17" s="23">
        <f>Assumptions!D23</f>
        <v/>
      </c>
      <c r="E17" s="23">
        <f>Assumptions!E23</f>
        <v/>
      </c>
      <c r="F17" s="23">
        <f>Assumptions!F23</f>
        <v/>
      </c>
      <c r="G17" s="23">
        <f>Assumptions!G23</f>
        <v/>
      </c>
    </row>
    <row r="18">
      <c r="A18" s="28" t="inlineStr">
        <is>
          <t xml:space="preserve">  Debt Repaid</t>
        </is>
      </c>
      <c r="B18" s="27" t="inlineStr">
        <is>
          <t>AS10</t>
        </is>
      </c>
      <c r="C18" s="29">
        <f>-Assumptions!C22</f>
        <v/>
      </c>
      <c r="D18" s="29">
        <f>-Assumptions!D22</f>
        <v/>
      </c>
      <c r="E18" s="29">
        <f>-Assumptions!E22</f>
        <v/>
      </c>
      <c r="F18" s="29">
        <f>-Assumptions!F22</f>
        <v/>
      </c>
      <c r="G18" s="29">
        <f>-Assumptions!G22</f>
        <v/>
      </c>
    </row>
    <row r="19">
      <c r="A19" s="21" t="inlineStr">
        <is>
          <t xml:space="preserve">  Dividends Paid</t>
        </is>
      </c>
      <c r="B19" s="22" t="inlineStr">
        <is>
          <t>IS</t>
        </is>
      </c>
      <c r="C19" s="23">
        <f>'Income Statement'!C19</f>
        <v/>
      </c>
      <c r="D19" s="23">
        <f>'Income Statement'!D19</f>
        <v/>
      </c>
      <c r="E19" s="23">
        <f>'Income Statement'!E19</f>
        <v/>
      </c>
      <c r="F19" s="23">
        <f>'Income Statement'!F19</f>
        <v/>
      </c>
      <c r="G19" s="23">
        <f>'Income Statement'!G19</f>
        <v/>
      </c>
    </row>
    <row r="20">
      <c r="A20" s="59" t="inlineStr">
        <is>
          <t>CASH FROM FINANCING (CFF)</t>
        </is>
      </c>
      <c r="B20" s="45" t="inlineStr"/>
      <c r="C20" s="46">
        <f>SUM(C17:C19)</f>
        <v/>
      </c>
      <c r="D20" s="46">
        <f>SUM(D17:D19)</f>
        <v/>
      </c>
      <c r="E20" s="46">
        <f>SUM(E17:E19)</f>
        <v/>
      </c>
      <c r="F20" s="46">
        <f>SUM(F17:F19)</f>
        <v/>
      </c>
      <c r="G20" s="46">
        <f>SUM(G17:G19)</f>
        <v/>
      </c>
    </row>
    <row r="21" ht="17" customHeight="1">
      <c r="A21" s="31" t="inlineStr">
        <is>
          <t>NET CHANGE IN CASH</t>
        </is>
      </c>
      <c r="B21" s="22" t="inlineStr"/>
      <c r="C21" s="60">
        <f>C11+C15+C20</f>
        <v/>
      </c>
      <c r="D21" s="60">
        <f>D11+D15+D20</f>
        <v/>
      </c>
      <c r="E21" s="60">
        <f>E11+E15+E20</f>
        <v/>
      </c>
      <c r="F21" s="60">
        <f>F11+F15+F20</f>
        <v/>
      </c>
      <c r="G21" s="60">
        <f>G11+G15+G20</f>
        <v/>
      </c>
    </row>
    <row r="22">
      <c r="A22" s="28" t="inlineStr">
        <is>
          <t xml:space="preserve">  Opening Cash Balance</t>
        </is>
      </c>
      <c r="B22" s="27" t="inlineStr"/>
      <c r="C22" s="29">
        <f>Assumptions!C25</f>
        <v/>
      </c>
      <c r="D22" s="16">
        <f>C23</f>
        <v/>
      </c>
      <c r="E22" s="16">
        <f>D23</f>
        <v/>
      </c>
      <c r="F22" s="16">
        <f>E23</f>
        <v/>
      </c>
      <c r="G22" s="16">
        <f>F23</f>
        <v/>
      </c>
    </row>
    <row r="23">
      <c r="A23" s="34" t="inlineStr">
        <is>
          <t xml:space="preserve">  Closing Cash Balance</t>
        </is>
      </c>
      <c r="B23" s="32" t="inlineStr"/>
      <c r="C23" s="33">
        <f>C21+C22</f>
        <v/>
      </c>
      <c r="D23" s="33">
        <f>D21+D22</f>
        <v/>
      </c>
      <c r="E23" s="33">
        <f>E21+E22</f>
        <v/>
      </c>
      <c r="F23" s="33">
        <f>F21+F22</f>
        <v/>
      </c>
      <c r="G23" s="33">
        <f>G21+G22</f>
        <v/>
      </c>
    </row>
    <row r="24" ht="17" customHeight="1">
      <c r="A24" s="47" t="inlineStr">
        <is>
          <t>CF Check = CF Closing vs BS Cash  (must = 0)</t>
        </is>
      </c>
      <c r="B24" s="48" t="inlineStr"/>
      <c r="C24" s="49">
        <f>C23-'Balance Sheet'!C9</f>
        <v/>
      </c>
      <c r="D24" s="49">
        <f>D23-'Balance Sheet'!D9</f>
        <v/>
      </c>
      <c r="E24" s="49">
        <f>E23-'Balance Sheet'!E9</f>
        <v/>
      </c>
      <c r="F24" s="49">
        <f>F23-'Balance Sheet'!F9</f>
        <v/>
      </c>
      <c r="G24" s="49">
        <f>G23-'Balance Sheet'!G9</f>
        <v/>
      </c>
    </row>
  </sheetData>
  <mergeCells count="2">
    <mergeCell ref="A2:G2"/>
    <mergeCell ref="A1:G1"/>
  </mergeCells>
  <conditionalFormatting sqref="C24:G24">
    <cfRule type="expression" priority="1" dxfId="0">
      <formula>C24&lt;&gt;0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G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2" customHeight="1">
      <c r="A1" s="1" t="inlineStr">
        <is>
          <t>KPI &amp; RATIO DASHBOARD</t>
        </is>
      </c>
    </row>
    <row r="2">
      <c r="A2" s="2" t="inlineStr">
        <is>
          <t>Fully linked from IS and BS  |  Green = improving  |  Red = deteriorating</t>
        </is>
      </c>
    </row>
    <row r="3" ht="20" customHeight="1">
      <c r="A3" s="4" t="inlineStr">
        <is>
          <t>Metric</t>
        </is>
      </c>
      <c r="B3" s="4" t="inlineStr">
        <is>
          <t>FY2023</t>
        </is>
      </c>
      <c r="C3" s="4" t="inlineStr">
        <is>
          <t>FY2024</t>
        </is>
      </c>
      <c r="D3" s="4" t="inlineStr">
        <is>
          <t>FY2025E</t>
        </is>
      </c>
      <c r="E3" s="4" t="inlineStr">
        <is>
          <t>FY2026E</t>
        </is>
      </c>
      <c r="F3" s="4" t="inlineStr">
        <is>
          <t>FY2027E</t>
        </is>
      </c>
    </row>
    <row r="4" ht="17" customHeight="1">
      <c r="A4" s="36" t="inlineStr">
        <is>
          <t>Profitability Ratios</t>
        </is>
      </c>
      <c r="B4" s="37" t="n"/>
      <c r="C4" s="37" t="n"/>
      <c r="D4" s="37" t="n"/>
      <c r="E4" s="37" t="n"/>
      <c r="F4" s="37" t="n"/>
      <c r="G4" s="37" t="n"/>
    </row>
    <row r="5">
      <c r="A5" s="39" t="inlineStr">
        <is>
          <t>Gross Margin %</t>
        </is>
      </c>
      <c r="B5" s="13">
        <f>'Income Statement'!C7</f>
        <v/>
      </c>
      <c r="C5" s="13">
        <f>'Income Statement'!D7</f>
        <v/>
      </c>
      <c r="D5" s="13">
        <f>'Income Statement'!E7</f>
        <v/>
      </c>
      <c r="E5" s="13">
        <f>'Income Statement'!F7</f>
        <v/>
      </c>
      <c r="F5" s="13">
        <f>'Income Statement'!G7</f>
        <v/>
      </c>
    </row>
    <row r="6">
      <c r="A6" s="26" t="inlineStr">
        <is>
          <t>EBITDA Margin %</t>
        </is>
      </c>
      <c r="B6" s="12">
        <f>'Income Statement'!C10</f>
        <v/>
      </c>
      <c r="C6" s="12">
        <f>'Income Statement'!D10</f>
        <v/>
      </c>
      <c r="D6" s="12">
        <f>'Income Statement'!E10</f>
        <v/>
      </c>
      <c r="E6" s="12">
        <f>'Income Statement'!F10</f>
        <v/>
      </c>
      <c r="F6" s="12">
        <f>'Income Statement'!G10</f>
        <v/>
      </c>
    </row>
    <row r="7">
      <c r="A7" s="39" t="inlineStr">
        <is>
          <t>EBIT Margin %</t>
        </is>
      </c>
      <c r="B7" s="13">
        <f>'Income Statement'!C13</f>
        <v/>
      </c>
      <c r="C7" s="13">
        <f>'Income Statement'!D13</f>
        <v/>
      </c>
      <c r="D7" s="13">
        <f>'Income Statement'!E13</f>
        <v/>
      </c>
      <c r="E7" s="13">
        <f>'Income Statement'!F13</f>
        <v/>
      </c>
      <c r="F7" s="13">
        <f>'Income Statement'!G13</f>
        <v/>
      </c>
    </row>
    <row r="8">
      <c r="A8" s="26" t="inlineStr">
        <is>
          <t>Net Profit Margin %</t>
        </is>
      </c>
      <c r="B8" s="12">
        <f>'Income Statement'!C18</f>
        <v/>
      </c>
      <c r="C8" s="12">
        <f>'Income Statement'!D18</f>
        <v/>
      </c>
      <c r="D8" s="12">
        <f>'Income Statement'!E18</f>
        <v/>
      </c>
      <c r="E8" s="12">
        <f>'Income Statement'!F18</f>
        <v/>
      </c>
      <c r="F8" s="12">
        <f>'Income Statement'!G18</f>
        <v/>
      </c>
    </row>
    <row r="9">
      <c r="A9" s="39" t="inlineStr">
        <is>
          <t>Return on Equity (ROE)</t>
        </is>
      </c>
      <c r="B9" s="13">
        <f>'Income Statement'!C17/'Balance Sheet'!C30</f>
        <v/>
      </c>
      <c r="C9" s="13">
        <f>'Income Statement'!D17/'Balance Sheet'!D30</f>
        <v/>
      </c>
      <c r="D9" s="13">
        <f>'Income Statement'!E17/'Balance Sheet'!E30</f>
        <v/>
      </c>
      <c r="E9" s="13">
        <f>'Income Statement'!F17/'Balance Sheet'!F30</f>
        <v/>
      </c>
      <c r="F9" s="13">
        <f>'Income Statement'!G17/'Balance Sheet'!G30</f>
        <v/>
      </c>
    </row>
    <row r="10">
      <c r="A10" s="26" t="inlineStr">
        <is>
          <t>Return on Assets (ROA)</t>
        </is>
      </c>
      <c r="B10" s="12">
        <f>'Income Statement'!C17/'Balance Sheet'!C17</f>
        <v/>
      </c>
      <c r="C10" s="12">
        <f>'Income Statement'!D17/'Balance Sheet'!D17</f>
        <v/>
      </c>
      <c r="D10" s="12">
        <f>'Income Statement'!E17/'Balance Sheet'!E17</f>
        <v/>
      </c>
      <c r="E10" s="12">
        <f>'Income Statement'!F17/'Balance Sheet'!F17</f>
        <v/>
      </c>
      <c r="F10" s="12">
        <f>'Income Statement'!G17/'Balance Sheet'!G17</f>
        <v/>
      </c>
    </row>
    <row r="11">
      <c r="A11" s="39" t="inlineStr">
        <is>
          <t>Return on Capital (ROCE)</t>
        </is>
      </c>
      <c r="B11" s="13">
        <f>'Income Statement'!C12/('Balance Sheet'!C17-'Balance Sheet'!C23)</f>
        <v/>
      </c>
      <c r="C11" s="13">
        <f>'Income Statement'!D12/('Balance Sheet'!D17-'Balance Sheet'!D23)</f>
        <v/>
      </c>
      <c r="D11" s="13">
        <f>'Income Statement'!E12/('Balance Sheet'!E17-'Balance Sheet'!E23)</f>
        <v/>
      </c>
      <c r="E11" s="13">
        <f>'Income Statement'!F12/('Balance Sheet'!F17-'Balance Sheet'!F23)</f>
        <v/>
      </c>
      <c r="F11" s="13">
        <f>'Income Statement'!G12/('Balance Sheet'!G17-'Balance Sheet'!G23)</f>
        <v/>
      </c>
    </row>
    <row r="12" ht="17" customHeight="1">
      <c r="A12" s="36" t="inlineStr">
        <is>
          <t>Liquidity &amp; Solvency Ratios</t>
        </is>
      </c>
      <c r="B12" s="37" t="n"/>
      <c r="C12" s="37" t="n"/>
      <c r="D12" s="37" t="n"/>
      <c r="E12" s="37" t="n"/>
      <c r="F12" s="37" t="n"/>
      <c r="G12" s="37" t="n"/>
    </row>
    <row r="13">
      <c r="A13" s="39" t="inlineStr">
        <is>
          <t>Current Ratio</t>
        </is>
      </c>
      <c r="B13" s="61">
        <f>'Balance Sheet'!C10/'Balance Sheet'!C23</f>
        <v/>
      </c>
      <c r="C13" s="61">
        <f>'Balance Sheet'!D10/'Balance Sheet'!D23</f>
        <v/>
      </c>
      <c r="D13" s="61">
        <f>'Balance Sheet'!E10/'Balance Sheet'!E23</f>
        <v/>
      </c>
      <c r="E13" s="61">
        <f>'Balance Sheet'!F10/'Balance Sheet'!F23</f>
        <v/>
      </c>
      <c r="F13" s="61">
        <f>'Balance Sheet'!G10/'Balance Sheet'!G23</f>
        <v/>
      </c>
    </row>
    <row r="14">
      <c r="A14" s="26" t="inlineStr">
        <is>
          <t>Quick Ratio</t>
        </is>
      </c>
      <c r="B14" s="62">
        <f>('Balance Sheet'!C10-'Balance Sheet'!C7)/'Balance Sheet'!C23</f>
        <v/>
      </c>
      <c r="C14" s="62">
        <f>('Balance Sheet'!D10-'Balance Sheet'!D7)/'Balance Sheet'!D23</f>
        <v/>
      </c>
      <c r="D14" s="62">
        <f>('Balance Sheet'!E10-'Balance Sheet'!E7)/'Balance Sheet'!E23</f>
        <v/>
      </c>
      <c r="E14" s="62">
        <f>('Balance Sheet'!F10-'Balance Sheet'!F7)/'Balance Sheet'!F23</f>
        <v/>
      </c>
      <c r="F14" s="62">
        <f>('Balance Sheet'!G10-'Balance Sheet'!G7)/'Balance Sheet'!G23</f>
        <v/>
      </c>
    </row>
    <row r="15">
      <c r="A15" s="39" t="inlineStr">
        <is>
          <t>Debt-to-Equity</t>
        </is>
      </c>
      <c r="B15" s="61">
        <f>('Balance Sheet'!C25+'Balance Sheet'!C22)/'Balance Sheet'!C30</f>
        <v/>
      </c>
      <c r="C15" s="61">
        <f>('Balance Sheet'!D25+'Balance Sheet'!D22)/'Balance Sheet'!D30</f>
        <v/>
      </c>
      <c r="D15" s="61">
        <f>('Balance Sheet'!E25+'Balance Sheet'!E22)/'Balance Sheet'!E30</f>
        <v/>
      </c>
      <c r="E15" s="61">
        <f>('Balance Sheet'!F25+'Balance Sheet'!F22)/'Balance Sheet'!F30</f>
        <v/>
      </c>
      <c r="F15" s="61">
        <f>('Balance Sheet'!G25+'Balance Sheet'!G22)/'Balance Sheet'!G30</f>
        <v/>
      </c>
    </row>
    <row r="16">
      <c r="A16" s="26" t="inlineStr">
        <is>
          <t>Debt-to-EBITDA</t>
        </is>
      </c>
      <c r="B16" s="62">
        <f>('Balance Sheet'!C25+'Balance Sheet'!C22)/'Income Statement'!C9</f>
        <v/>
      </c>
      <c r="C16" s="62">
        <f>('Balance Sheet'!D25+'Balance Sheet'!D22)/'Income Statement'!D9</f>
        <v/>
      </c>
      <c r="D16" s="62">
        <f>('Balance Sheet'!E25+'Balance Sheet'!E22)/'Income Statement'!E9</f>
        <v/>
      </c>
      <c r="E16" s="62">
        <f>('Balance Sheet'!F25+'Balance Sheet'!F22)/'Income Statement'!F9</f>
        <v/>
      </c>
      <c r="F16" s="62">
        <f>('Balance Sheet'!G25+'Balance Sheet'!G22)/'Income Statement'!G9</f>
        <v/>
      </c>
    </row>
    <row r="17">
      <c r="A17" s="39" t="inlineStr">
        <is>
          <t>Interest Coverage (x)</t>
        </is>
      </c>
      <c r="B17" s="63">
        <f>'Income Statement'!C12/(-'Income Statement'!C14)</f>
        <v/>
      </c>
      <c r="C17" s="63">
        <f>'Income Statement'!D12/(-'Income Statement'!D14)</f>
        <v/>
      </c>
      <c r="D17" s="63">
        <f>'Income Statement'!E12/(-'Income Statement'!E14)</f>
        <v/>
      </c>
      <c r="E17" s="63">
        <f>'Income Statement'!F12/(-'Income Statement'!F14)</f>
        <v/>
      </c>
      <c r="F17" s="63">
        <f>'Income Statement'!G12/(-'Income Statement'!G14)</f>
        <v/>
      </c>
    </row>
    <row r="18" ht="17" customHeight="1">
      <c r="A18" s="36" t="inlineStr">
        <is>
          <t>Efficiency / Activity Ratios</t>
        </is>
      </c>
      <c r="B18" s="37" t="n"/>
      <c r="C18" s="37" t="n"/>
      <c r="D18" s="37" t="n"/>
      <c r="E18" s="37" t="n"/>
      <c r="F18" s="37" t="n"/>
      <c r="G18" s="37" t="n"/>
    </row>
    <row r="19">
      <c r="A19" s="39" t="inlineStr">
        <is>
          <t>DSO (Receivable Days)</t>
        </is>
      </c>
      <c r="B19" s="64">
        <f>Assumptions!C16</f>
        <v/>
      </c>
      <c r="C19" s="64">
        <f>Assumptions!D16</f>
        <v/>
      </c>
      <c r="D19" s="64">
        <f>Assumptions!E16</f>
        <v/>
      </c>
      <c r="E19" s="64">
        <f>Assumptions!F16</f>
        <v/>
      </c>
      <c r="F19" s="64">
        <f>Assumptions!G16</f>
        <v/>
      </c>
    </row>
    <row r="20">
      <c r="A20" s="26" t="inlineStr">
        <is>
          <t>DIO (Inventory Days)</t>
        </is>
      </c>
      <c r="B20" s="65">
        <f>Assumptions!C17</f>
        <v/>
      </c>
      <c r="C20" s="65">
        <f>Assumptions!D17</f>
        <v/>
      </c>
      <c r="D20" s="65">
        <f>Assumptions!E17</f>
        <v/>
      </c>
      <c r="E20" s="65">
        <f>Assumptions!F17</f>
        <v/>
      </c>
      <c r="F20" s="65">
        <f>Assumptions!G17</f>
        <v/>
      </c>
    </row>
    <row r="21">
      <c r="A21" s="39" t="inlineStr">
        <is>
          <t>DPO (Payable Days)</t>
        </is>
      </c>
      <c r="B21" s="64">
        <f>Assumptions!C18</f>
        <v/>
      </c>
      <c r="C21" s="64">
        <f>Assumptions!D18</f>
        <v/>
      </c>
      <c r="D21" s="64">
        <f>Assumptions!E18</f>
        <v/>
      </c>
      <c r="E21" s="64">
        <f>Assumptions!F18</f>
        <v/>
      </c>
      <c r="F21" s="64">
        <f>Assumptions!G18</f>
        <v/>
      </c>
    </row>
    <row r="22">
      <c r="A22" s="26" t="inlineStr">
        <is>
          <t>Cash Conversion Cycle</t>
        </is>
      </c>
      <c r="B22" s="65">
        <f>Assumptions!C16+Assumptions!C17-Assumptions!C18</f>
        <v/>
      </c>
      <c r="C22" s="65">
        <f>Assumptions!D16+Assumptions!D17-Assumptions!D18</f>
        <v/>
      </c>
      <c r="D22" s="65">
        <f>Assumptions!E16+Assumptions!E17-Assumptions!E18</f>
        <v/>
      </c>
      <c r="E22" s="65">
        <f>Assumptions!F16+Assumptions!F17-Assumptions!F18</f>
        <v/>
      </c>
      <c r="F22" s="65">
        <f>Assumptions!G16+Assumptions!G17-Assumptions!G18</f>
        <v/>
      </c>
    </row>
    <row r="23">
      <c r="A23" s="39" t="inlineStr">
        <is>
          <t>Asset Turnover</t>
        </is>
      </c>
      <c r="B23" s="61">
        <f>'Income Statement'!C4/'Balance Sheet'!C17</f>
        <v/>
      </c>
      <c r="C23" s="61">
        <f>'Income Statement'!D4/'Balance Sheet'!D17</f>
        <v/>
      </c>
      <c r="D23" s="61">
        <f>'Income Statement'!E4/'Balance Sheet'!E17</f>
        <v/>
      </c>
      <c r="E23" s="61">
        <f>'Income Statement'!F4/'Balance Sheet'!F17</f>
        <v/>
      </c>
      <c r="F23" s="61">
        <f>'Income Statement'!G4/'Balance Sheet'!G17</f>
        <v/>
      </c>
    </row>
    <row r="24" ht="17" customHeight="1">
      <c r="A24" s="36" t="inlineStr">
        <is>
          <t>Cash Flow Ratios</t>
        </is>
      </c>
      <c r="B24" s="37" t="n"/>
      <c r="C24" s="37" t="n"/>
      <c r="D24" s="37" t="n"/>
      <c r="E24" s="37" t="n"/>
      <c r="F24" s="37" t="n"/>
      <c r="G24" s="37" t="n"/>
    </row>
    <row r="25">
      <c r="A25" s="39" t="inlineStr">
        <is>
          <t>CFO / Net Profit</t>
        </is>
      </c>
      <c r="B25" s="63">
        <f>'Cash Flow Statement'!C11/'Income Statement'!C17</f>
        <v/>
      </c>
      <c r="C25" s="63">
        <f>'Cash Flow Statement'!D11/'Income Statement'!D17</f>
        <v/>
      </c>
      <c r="D25" s="63">
        <f>'Cash Flow Statement'!E11/'Income Statement'!E17</f>
        <v/>
      </c>
      <c r="E25" s="63">
        <f>'Cash Flow Statement'!F11/'Income Statement'!F17</f>
        <v/>
      </c>
      <c r="F25" s="63">
        <f>'Cash Flow Statement'!G11/'Income Statement'!G17</f>
        <v/>
      </c>
    </row>
    <row r="26">
      <c r="A26" s="26" t="inlineStr">
        <is>
          <t>Free Cash Flow (FCF)</t>
        </is>
      </c>
      <c r="B26" s="16">
        <f>'Cash Flow Statement'!C11+'Cash Flow Statement'!C15</f>
        <v/>
      </c>
      <c r="C26" s="16">
        <f>'Cash Flow Statement'!D11+'Cash Flow Statement'!D15</f>
        <v/>
      </c>
      <c r="D26" s="16">
        <f>'Cash Flow Statement'!E11+'Cash Flow Statement'!E15</f>
        <v/>
      </c>
      <c r="E26" s="16">
        <f>'Cash Flow Statement'!F11+'Cash Flow Statement'!F15</f>
        <v/>
      </c>
      <c r="F26" s="16">
        <f>'Cash Flow Statement'!G11+'Cash Flow Statement'!G15</f>
        <v/>
      </c>
    </row>
    <row r="27">
      <c r="A27" s="39" t="inlineStr">
        <is>
          <t>FCF / Revenue %</t>
        </is>
      </c>
      <c r="B27" s="13">
        <f>('Cash Flow Statement'!C11+'Cash Flow Statement'!C15)/'Income Statement'!C4</f>
        <v/>
      </c>
      <c r="C27" s="13">
        <f>('Cash Flow Statement'!D11+'Cash Flow Statement'!D15)/'Income Statement'!D4</f>
        <v/>
      </c>
      <c r="D27" s="13">
        <f>('Cash Flow Statement'!E11+'Cash Flow Statement'!E15)/'Income Statement'!E4</f>
        <v/>
      </c>
      <c r="E27" s="13">
        <f>('Cash Flow Statement'!F11+'Cash Flow Statement'!F15)/'Income Statement'!F4</f>
        <v/>
      </c>
      <c r="F27" s="13">
        <f>('Cash Flow Statement'!G11+'Cash Flow Statement'!G15)/'Income Statement'!G4</f>
        <v/>
      </c>
    </row>
    <row r="28">
      <c r="A28" s="26" t="inlineStr">
        <is>
          <t>Capex / Revenue %</t>
        </is>
      </c>
      <c r="B28" s="12">
        <f>-'Cash Flow Statement'!C13/'Income Statement'!C4</f>
        <v/>
      </c>
      <c r="C28" s="12">
        <f>-'Cash Flow Statement'!D13/'Income Statement'!D4</f>
        <v/>
      </c>
      <c r="D28" s="12">
        <f>-'Cash Flow Statement'!E13/'Income Statement'!E4</f>
        <v/>
      </c>
      <c r="E28" s="12">
        <f>-'Cash Flow Statement'!F13/'Income Statement'!F4</f>
        <v/>
      </c>
      <c r="F28" s="12">
        <f>-'Cash Flow Statement'!G13/'Income Statement'!G4</f>
        <v/>
      </c>
    </row>
  </sheetData>
  <mergeCells count="2">
    <mergeCell ref="A2:G2"/>
    <mergeCell ref="A1:G1"/>
  </mergeCells>
  <conditionalFormatting sqref="B5:F5">
    <cfRule type="colorScale" priority="1">
      <colorScale>
        <cfvo type="min"/>
        <cfvo type="max"/>
        <color rgb="00FCE4D6"/>
        <color rgb="00E2EFDA"/>
      </colorScale>
    </cfRule>
  </conditionalFormatting>
  <conditionalFormatting sqref="B6:F6">
    <cfRule type="colorScale" priority="2">
      <colorScale>
        <cfvo type="min"/>
        <cfvo type="max"/>
        <color rgb="00FCE4D6"/>
        <color rgb="00E2EFDA"/>
      </colorScale>
    </cfRule>
  </conditionalFormatting>
  <conditionalFormatting sqref="B7:F7">
    <cfRule type="colorScale" priority="3">
      <colorScale>
        <cfvo type="min"/>
        <cfvo type="max"/>
        <color rgb="00FCE4D6"/>
        <color rgb="00E2EFDA"/>
      </colorScale>
    </cfRule>
  </conditionalFormatting>
  <conditionalFormatting sqref="B8:F8">
    <cfRule type="colorScale" priority="4">
      <colorScale>
        <cfvo type="min"/>
        <cfvo type="max"/>
        <color rgb="00FCE4D6"/>
        <color rgb="00E2EFDA"/>
      </colorScale>
    </cfRule>
  </conditionalFormatting>
  <conditionalFormatting sqref="B9:F9">
    <cfRule type="colorScale" priority="5">
      <colorScale>
        <cfvo type="min"/>
        <cfvo type="max"/>
        <color rgb="00FCE4D6"/>
        <color rgb="00E2EFDA"/>
      </colorScale>
    </cfRule>
  </conditionalFormatting>
  <conditionalFormatting sqref="B10:F10">
    <cfRule type="colorScale" priority="6">
      <colorScale>
        <cfvo type="min"/>
        <cfvo type="max"/>
        <color rgb="00FCE4D6"/>
        <color rgb="00E2EFDA"/>
      </colorScale>
    </cfRule>
  </conditionalFormatting>
  <conditionalFormatting sqref="B11:F11">
    <cfRule type="colorScale" priority="7">
      <colorScale>
        <cfvo type="min"/>
        <cfvo type="max"/>
        <color rgb="00FCE4D6"/>
        <color rgb="00E2EFDA"/>
      </colorScale>
    </cfRule>
  </conditionalFormatting>
  <conditionalFormatting sqref="B13:F13">
    <cfRule type="colorScale" priority="8">
      <colorScale>
        <cfvo type="min"/>
        <cfvo type="max"/>
        <color rgb="00FCE4D6"/>
        <color rgb="00E2EFDA"/>
      </colorScale>
    </cfRule>
  </conditionalFormatting>
  <conditionalFormatting sqref="B14:F14">
    <cfRule type="colorScale" priority="9">
      <colorScale>
        <cfvo type="min"/>
        <cfvo type="max"/>
        <color rgb="00FCE4D6"/>
        <color rgb="00E2EFDA"/>
      </colorScale>
    </cfRule>
  </conditionalFormatting>
  <conditionalFormatting sqref="B17:F17">
    <cfRule type="colorScale" priority="10">
      <colorScale>
        <cfvo type="min"/>
        <cfvo type="max"/>
        <color rgb="00FCE4D6"/>
        <color rgb="00E2EFDA"/>
      </colorScale>
    </cfRule>
  </conditionalFormatting>
  <conditionalFormatting sqref="B25:F25">
    <cfRule type="colorScale" priority="11">
      <colorScale>
        <cfvo type="min"/>
        <cfvo type="max"/>
        <color rgb="00FCE4D6"/>
        <color rgb="00E2EFDA"/>
      </colorScale>
    </cfRule>
  </conditionalFormatting>
  <conditionalFormatting sqref="B26:F26">
    <cfRule type="colorScale" priority="12">
      <colorScale>
        <cfvo type="min"/>
        <cfvo type="max"/>
        <color rgb="00FCE4D6"/>
        <color rgb="00E2EFDA"/>
      </colorScale>
    </cfRule>
  </conditionalFormatting>
  <conditionalFormatting sqref="B27:F27">
    <cfRule type="colorScale" priority="13">
      <colorScale>
        <cfvo type="min"/>
        <cfvo type="max"/>
        <color rgb="00FCE4D6"/>
        <color rgb="00E2EFDA"/>
      </colorScale>
    </cfRule>
  </conditionalFormatting>
  <conditionalFormatting sqref="B15:F15">
    <cfRule type="colorScale" priority="14">
      <colorScale>
        <cfvo type="min"/>
        <cfvo type="max"/>
        <color rgb="00E2EFDA"/>
        <color rgb="00FCE4D6"/>
      </colorScale>
    </cfRule>
  </conditionalFormatting>
  <conditionalFormatting sqref="B16:F16">
    <cfRule type="colorScale" priority="15">
      <colorScale>
        <cfvo type="min"/>
        <cfvo type="max"/>
        <color rgb="00E2EFDA"/>
        <color rgb="00FCE4D6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2026-04-30T07:21:14Z</dcterms:created>
  <dcterms:modified xmlns:dcterms="http://purl.org/dc/terms/" xmlns:xsi="http://www.w3.org/2001/XMLSchema-instance" xsi:type="dcterms:W3CDTF">2026-04-30T07:21:14Z</dcterms:modified>
</cp:coreProperties>
</file>