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umptions" sheetId="1" state="visible" r:id="rId3"/>
    <sheet name="Sales Schedule" sheetId="2" state="visible" r:id="rId4"/>
    <sheet name="Cash Flow Forecast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<sst xmlns="http://schemas.openxmlformats.org/spreadsheetml/2006/main" count="149" uniqueCount="131">
  <si>
    <t xml:space="preserve">13-WEEK CASH FLOW MODEL — ASSUMPTIONS</t>
  </si>
  <si>
    <t xml:space="preserve">Blue cells = editable inputs  |  Black = formulas  |  All amounts in ₹</t>
  </si>
  <si>
    <t xml:space="preserve">1. Opening Balance</t>
  </si>
  <si>
    <t xml:space="preserve">Opening Cash Balance (₹)</t>
  </si>
  <si>
    <t xml:space="preserve">As at forecast start date</t>
  </si>
  <si>
    <t xml:space="preserve">2. Cash Collections — Debtor Timing</t>
  </si>
  <si>
    <t xml:space="preserve">Weekly Base Sales (₹)</t>
  </si>
  <si>
    <t xml:space="preserve">Average weekly invoiced sales</t>
  </si>
  <si>
    <t xml:space="preserve">Weekly Sales Growth Rate</t>
  </si>
  <si>
    <t xml:space="preserve">Week-on-week growth</t>
  </si>
  <si>
    <t xml:space="preserve">Collected — Same Week (%)</t>
  </si>
  <si>
    <t xml:space="preserve">Cash received within 7 days</t>
  </si>
  <si>
    <t xml:space="preserve">Collected — Week +1 (%)</t>
  </si>
  <si>
    <t xml:space="preserve">Payment in 8–14 days</t>
  </si>
  <si>
    <t xml:space="preserve">Collected — Week +2 (%)</t>
  </si>
  <si>
    <t xml:space="preserve">Payment in 15–21 days</t>
  </si>
  <si>
    <t xml:space="preserve">Collected — Week +3 (%)</t>
  </si>
  <si>
    <t xml:space="preserve">Payment beyond 21 days</t>
  </si>
  <si>
    <t xml:space="preserve">Other Income / Rebates — Weekly (₹)</t>
  </si>
  <si>
    <t xml:space="preserve">Freight rebates, misc income</t>
  </si>
  <si>
    <t xml:space="preserve">3. Cash Outflows</t>
  </si>
  <si>
    <t xml:space="preserve">COGS as % of Sales</t>
  </si>
  <si>
    <t xml:space="preserve">Materials + direct labour</t>
  </si>
  <si>
    <t xml:space="preserve">COGS Payment Lag (weeks)</t>
  </si>
  <si>
    <t xml:space="preserve">Weeks after purchase</t>
  </si>
  <si>
    <t xml:space="preserve">Salaries &amp; Wages — Weekly (₹)</t>
  </si>
  <si>
    <t xml:space="preserve">Fixed weekly payroll</t>
  </si>
  <si>
    <t xml:space="preserve">Rent &amp; Utilities — Weekly (₹)</t>
  </si>
  <si>
    <t xml:space="preserve">Office + warehouse</t>
  </si>
  <si>
    <t xml:space="preserve">Freight &amp; Logistics — Weekly (₹)</t>
  </si>
  <si>
    <t xml:space="preserve">EXIM / port costs</t>
  </si>
  <si>
    <t xml:space="preserve">Admin &amp; Overheads — Weekly (₹)</t>
  </si>
  <si>
    <t xml:space="preserve">IT, stationery, misc</t>
  </si>
  <si>
    <t xml:space="preserve">Loan EMI — Weekly (₹)</t>
  </si>
  <si>
    <t xml:space="preserve">Bank loan repayment</t>
  </si>
  <si>
    <t xml:space="preserve">GST/Tax Payment — in Week #</t>
  </si>
  <si>
    <t xml:space="preserve">Enter week number (1-13)</t>
  </si>
  <si>
    <t xml:space="preserve">GST/Tax Payment Amount (₹)</t>
  </si>
  <si>
    <t xml:space="preserve">Advance tax or GST outflow</t>
  </si>
  <si>
    <t xml:space="preserve">Capex / One-off — in Week #</t>
  </si>
  <si>
    <t xml:space="preserve">Capex / One-off Amount (₹)</t>
  </si>
  <si>
    <t xml:space="preserve">Equipment / asset purchase</t>
  </si>
  <si>
    <t xml:space="preserve">4. Liquidity Parameters</t>
  </si>
  <si>
    <t xml:space="preserve">Minimum Cash Buffer (₹)</t>
  </si>
  <si>
    <t xml:space="preserve">Alert if closing balance &lt; this</t>
  </si>
  <si>
    <t xml:space="preserve">Overdraft Facility Available (₹)</t>
  </si>
  <si>
    <t xml:space="preserve">Working capital line from bank</t>
  </si>
  <si>
    <t xml:space="preserve">5. Forecast Period</t>
  </si>
  <si>
    <t xml:space="preserve">Forecast Start Date (Monday Wk1)</t>
  </si>
  <si>
    <t xml:space="preserve">First Monday of forecast</t>
  </si>
  <si>
    <t xml:space="preserve">SALES &amp; COLLECTIONS SCHEDULE</t>
  </si>
  <si>
    <t xml:space="preserve">Item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</si>
  <si>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</si>
  <si>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</si>
  <si>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</si>
  <si>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</si>
  <si>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</si>
  <si>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</si>
  <si>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</si>
  <si>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</si>
  <si>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</si>
  <si>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</si>
  <si>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</si>
  <si>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</si>
  <si>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</si>
  <si>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TOTAL</t>
  </si>
  <si>
    <t xml:space="preserve">Week Ending (Sunday)</t>
  </si>
  <si>
    <t xml:space="preserve">Gross Sales (₹)</t>
  </si>
  <si>
    <t xml:space="preserve">Same Week Collections (W+0)</t>
  </si>
  <si>
    <t xml:space="preserve">1-Week Lag Collections (W+1)</t>
  </si>
  <si>
    <t xml:space="preserve">2-Week Lag Collections (W+2)</t>
  </si>
  <si>
    <t xml:space="preserve">3-Week Lag Collections (W+3)</t>
  </si>
  <si>
    <t xml:space="preserve">TOTAL CASH COLLECTIONS (₹)</t>
  </si>
  <si>
    <t xml:space="preserve">13-WEEK CASH FLOW FORECAST</t>
  </si>
  <si>
    <t xml:space="preserve">All amounts in Indian Rupees (₹)  |  Blue = inputs  |  Black = formulas  |  Green = cross-sheet links</t>
  </si>
  <si>
    <t xml:space="preserve">Description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</si>
  <si>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</si>
  <si>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</si>
  <si>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</si>
  <si>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</si>
  <si>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</si>
  <si>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</si>
  <si>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</si>
  <si>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</si>
  <si>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</si>
  <si>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</si>
  <si>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</si>
  <si>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</si>
  <si>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</si>
  <si>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13-Wk TOTAL</t>
  </si>
  <si>
    <t xml:space="preserve">AVG/WK</t>
  </si>
  <si>
    <t xml:space="preserve">—</t>
  </si>
  <si>
    <t xml:space="preserve">OPENING CASH BALANCE</t>
  </si>
  <si>
    <t xml:space="preserve">A.  CASH INFLOWS</t>
  </si>
  <si>
    <t xml:space="preserve">  Cash Collections from Sales</t>
  </si>
  <si>
    <t xml:space="preserve">  Other Income / Rebates (₹)</t>
  </si>
  <si>
    <t xml:space="preserve">TOTAL CASH INFLOWS  (A)</t>
  </si>
  <si>
    <t xml:space="preserve">B.  CASH OUTFLOWS — PAYMENTS</t>
  </si>
  <si>
    <t xml:space="preserve">  COGS / Purchases Payment (₹)</t>
  </si>
  <si>
    <t xml:space="preserve">  Salaries &amp; Wages (₹)</t>
  </si>
  <si>
    <t xml:space="preserve">  Rent &amp; Utilities (₹)</t>
  </si>
  <si>
    <t xml:space="preserve">  Freight &amp; Logistics (₹)</t>
  </si>
  <si>
    <t xml:space="preserve">  Admin &amp; Overheads (₹)</t>
  </si>
  <si>
    <t xml:space="preserve">  Loan / EMI Repayment (₹)</t>
  </si>
  <si>
    <t xml:space="preserve">  GST / Tax Payment (₹)</t>
  </si>
  <si>
    <t xml:space="preserve">  Capex / One-off Expenditure (₹)</t>
  </si>
  <si>
    <t xml:space="preserve">TOTAL CASH OUTFLOWS  (B)</t>
  </si>
  <si>
    <t xml:space="preserve">C.  NET CASH FLOW &amp; POSITION</t>
  </si>
  <si>
    <t xml:space="preserve">NET CASH FLOW  (A minus B)</t>
  </si>
  <si>
    <t xml:space="preserve">CLOSING CASH BALANCE (₹)</t>
  </si>
  <si>
    <t xml:space="preserve">D.  LIQUIDITY ALERTS</t>
  </si>
  <si>
    <t xml:space="preserve">Buffer Status  (✓ OK  /  ⚠ LOW)</t>
  </si>
  <si>
    <t xml:space="preserve">Cumulative Net Cash Flow (₹)</t>
  </si>
  <si>
    <t xml:space="preserve">Minimum Closing Balance (13-wk)</t>
  </si>
  <si>
    <t xml:space="preserve">Maximum Closing Balance (13-wk)</t>
  </si>
  <si>
    <t xml:space="preserve">E.  SUMMARY STATISTICS</t>
  </si>
  <si>
    <t xml:space="preserve">Total Cash Inflows (13 weeks)</t>
  </si>
  <si>
    <t xml:space="preserve">Total Cash Outflows (13 weeks)</t>
  </si>
  <si>
    <t xml:space="preserve">Net Cash Generated</t>
  </si>
  <si>
    <t xml:space="preserve">Average Weekly Net Cash Flow</t>
  </si>
  <si>
    <t xml:space="preserve">Weeks with Positive Net Flow</t>
  </si>
  <si>
    <t xml:space="preserve">Weeks Below Minimum Buffer</t>
  </si>
  <si>
    <t xml:space="preserve">CHART DATA — Cash Flow Visualisation</t>
  </si>
  <si>
    <t xml:space="preserve">Metric</t>
  </si>
  <si>
    <t xml:space="preserve">Total</t>
  </si>
  <si>
    <t xml:space="preserve">Opening Balance</t>
  </si>
  <si>
    <t xml:space="preserve">Total Inflows</t>
  </si>
  <si>
    <t xml:space="preserve">Total Outflows</t>
  </si>
  <si>
    <t xml:space="preserve">Net Cash Flow</t>
  </si>
  <si>
    <t xml:space="preserve">Closing Balance</t>
  </si>
  <si>
    <t xml:space="preserve">Cumulative NCF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</si>
</sst>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"/>
    <numFmt numFmtId="168" formatCode="dd\-mmm\-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i val="true"/>
      <sz val="10"/>
      <color rgb="FF843C0C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D9E2F3"/>
        <bgColor rgb="FFD9D9D9"/>
      </patternFill>
    </fill>
    <fill>
      <patternFill patternType="solid">
        <fgColor rgb="FF2E5F9E"/>
        <bgColor rgb="FF3A618E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9BBB59"/>
      <rgbColor rgb="FF0000FF"/>
      <rgbColor rgb="FFB8CD97"/>
      <rgbColor rgb="FFBB7235"/>
      <rgbColor rgb="FF89A54E"/>
      <rgbColor rgb="FFC0504D"/>
      <rgbColor rgb="FF008000"/>
      <rgbColor rgb="FFD09493"/>
      <rgbColor rgb="FF748D41"/>
      <rgbColor rgb="FFAB4744"/>
      <rgbColor rgb="FF3A618E"/>
      <rgbColor rgb="FFB7C3DA"/>
      <rgbColor rgb="FF878787"/>
      <rgbColor rgb="FF91A8CD"/>
      <rgbColor rgb="FF913A38"/>
      <rgbColor rgb="FFF9F9F9"/>
      <rgbColor rgb="FFF2F2F2"/>
      <rgbColor rgb="FF7F62A1"/>
      <rgbColor rgb="FFF79646"/>
      <rgbColor rgb="FF2E5F9E"/>
      <rgbColor rgb="FFBDC8DE"/>
      <rgbColor rgb="FFDCB7B6"/>
      <rgbColor rgb="FFCC8F8E"/>
      <rgbColor rgb="FFB3C992"/>
      <rgbColor rgb="FFD9D9D9"/>
      <rgbColor rgb="FFBE4B48"/>
      <rgbColor rgb="FFB96F30"/>
      <rgbColor rgb="FF4571A7"/>
      <rgbColor rgb="FFE0BDBC"/>
      <rgbColor rgb="FF4098B0"/>
      <rgbColor rgb="FFD9E2F3"/>
      <rgbColor rgb="FFE2EFDA"/>
      <rgbColor rgb="FFFCE4D6"/>
      <rgbColor rgb="FF90C2D4"/>
      <rgbColor rgb="FFF5B089"/>
      <rgbColor rgb="FFA99BBD"/>
      <rgbColor rgb="FFF8B590"/>
      <rgbColor rgb="FF4472C4"/>
      <rgbColor rgb="FF49ABC6"/>
      <rgbColor rgb="FF98B855"/>
      <rgbColor rgb="FFDC853E"/>
      <rgbColor rgb="FFF59240"/>
      <rgbColor rgb="FFDB8238"/>
      <rgbColor rgb="FF71588F"/>
      <rgbColor rgb="FFA596B9"/>
      <rgbColor rgb="FF1F3864"/>
      <rgbColor rgb="FF378195"/>
      <rgbColor rgb="FF4D80BC"/>
      <rgbColor rgb="FF595959"/>
      <rgbColor rgb="FF843C0C"/>
      <rgbColor rgb="FFAA433F"/>
      <rgbColor rgb="FF604B7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Cash Flow — Inflows vs Outflows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3c62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Charts!$B$4</c:f>
              <c:numCache>
                <c:formatCode>#,##0;\(#,##0\);\-</c:formatCode>
                <c:ptCount val="1"/>
                <c:pt idx="0">
                  <c:v>290000</c:v>
                </c:pt>
              </c:numCache>
            </c:numRef>
          </c:val>
        </c:ser>
        <c:ser>
          <c:idx val="1"/>
          <c:order val="1"/>
          <c:spPr>
            <a:solidFill>
              <a:srgbClr val="92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Charts!$C$4</c:f>
              <c:numCache>
                <c:formatCode>#,##0;\(#,##0\);\-</c:formatCode>
                <c:ptCount val="1"/>
                <c:pt idx="0">
                  <c:v>651200</c:v>
                </c:pt>
              </c:numCache>
            </c:numRef>
          </c:val>
        </c:ser>
        <c:ser>
          <c:idx val="2"/>
          <c:order val="2"/>
          <c:spPr>
            <a:solidFill>
              <a:srgbClr val="758e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Charts!$D$4</c:f>
              <c:numCache>
                <c:formatCode>#,##0;\(#,##0\);\-</c:formatCode>
                <c:ptCount val="1"/>
                <c:pt idx="0">
                  <c:v>814206</c:v>
                </c:pt>
              </c:numCache>
            </c:numRef>
          </c:val>
        </c:ser>
        <c:ser>
          <c:idx val="3"/>
          <c:order val="3"/>
          <c:spPr>
            <a:solidFill>
              <a:srgbClr val="614c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Charts!$E$4</c:f>
              <c:numCache>
                <c:formatCode>#,##0;\(#,##0\);\-</c:formatCode>
                <c:ptCount val="1"/>
                <c:pt idx="0">
                  <c:v>858027.03</c:v>
                </c:pt>
              </c:numCache>
            </c:numRef>
          </c:val>
        </c:ser>
        <c:ser>
          <c:idx val="4"/>
          <c:order val="4"/>
          <c:spPr>
            <a:solidFill>
              <a:srgbClr val="3982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Charts!$F$4</c:f>
              <c:numCache>
                <c:formatCode>#,##0;\(#,##0\);\-</c:formatCode>
                <c:ptCount val="1"/>
                <c:pt idx="0">
                  <c:v>862067.16515</c:v>
                </c:pt>
              </c:numCache>
            </c:numRef>
          </c:val>
        </c:ser>
        <c:ser>
          <c:idx val="5"/>
          <c:order val="5"/>
          <c:spPr>
            <a:solidFill>
              <a:srgbClr val="bb7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Charts!$G$4</c:f>
              <c:numCache>
                <c:formatCode>#,##0;\(#,##0\);\-</c:formatCode>
                <c:ptCount val="1"/>
                <c:pt idx="0">
                  <c:v>866127.50097575</c:v>
                </c:pt>
              </c:numCache>
            </c:numRef>
          </c:val>
        </c:ser>
        <c:ser>
          <c:idx val="6"/>
          <c:order val="6"/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Charts!$H$4</c:f>
              <c:numCache>
                <c:formatCode>#,##0;\(#,##0\);\-</c:formatCode>
                <c:ptCount val="1"/>
                <c:pt idx="0">
                  <c:v>870208.138480628</c:v>
                </c:pt>
              </c:numCache>
            </c:numRef>
          </c:val>
        </c:ser>
        <c:ser>
          <c:idx val="7"/>
          <c:order val="7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Charts!$I$4</c:f>
              <c:numCache>
                <c:formatCode>#,##0;\(#,##0\);\-</c:formatCode>
                <c:ptCount val="1"/>
                <c:pt idx="0">
                  <c:v>874309.179173032</c:v>
                </c:pt>
              </c:numCache>
            </c:numRef>
          </c:val>
        </c:ser>
        <c:ser>
          <c:idx val="8"/>
          <c:order val="8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Charts!$J$4</c:f>
              <c:numCache>
                <c:formatCode>#,##0;\(#,##0\);\-</c:formatCode>
                <c:ptCount val="1"/>
                <c:pt idx="0">
                  <c:v>878430.725068897</c:v>
                </c:pt>
              </c:numCache>
            </c:numRef>
          </c:val>
        </c:ser>
        <c:ser>
          <c:idx val="9"/>
          <c:order val="9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Charts!$K$4</c:f>
              <c:numCache>
                <c:formatCode>#,##0;\(#,##0\);\-</c:formatCode>
                <c:ptCount val="1"/>
                <c:pt idx="0">
                  <c:v>882572.878694241</c:v>
                </c:pt>
              </c:numCache>
            </c:numRef>
          </c:val>
        </c:ser>
        <c:ser>
          <c:idx val="10"/>
          <c:order val="10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Charts!$L$4</c:f>
              <c:numCache>
                <c:formatCode>#,##0;\(#,##0\);\-</c:formatCode>
                <c:ptCount val="1"/>
                <c:pt idx="0">
                  <c:v>886735.743087712</c:v>
                </c:pt>
              </c:numCache>
            </c:numRef>
          </c:val>
        </c:ser>
        <c:ser>
          <c:idx val="11"/>
          <c:order val="11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Charts!$M$4</c:f>
              <c:numCache>
                <c:formatCode>#,##0;\(#,##0\);\-</c:formatCode>
                <c:ptCount val="1"/>
                <c:pt idx="0">
                  <c:v>890919.42180315</c:v>
                </c:pt>
              </c:numCache>
            </c:numRef>
          </c:val>
        </c:ser>
        <c:ser>
          <c:idx val="12"/>
          <c:order val="12"/>
          <c:tx>
            <c:strRef>
              <c:f>"Total Inflows"</c:f>
              <c:strCache>
                <c:ptCount val="1"/>
                <c:pt idx="0">
                  <c:v>Total Inflows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Charts!$N$4</c:f>
              <c:numCache>
                <c:formatCode>#,##0;\(#,##0\);\-</c:formatCode>
                <c:ptCount val="1"/>
                <c:pt idx="0">
                  <c:v>895124.018912166</c:v>
                </c:pt>
              </c:numCache>
            </c:numRef>
          </c:val>
        </c:ser>
        <c:ser>
          <c:idx val="13"/>
          <c:order val="13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Charts!$B$5</c:f>
              <c:numCache>
                <c:formatCode>#,##0;\(#,##0\);\-</c:formatCode>
                <c:ptCount val="1"/>
                <c:pt idx="0">
                  <c:v>335000</c:v>
                </c:pt>
              </c:numCache>
            </c:numRef>
          </c:val>
        </c:ser>
        <c:ser>
          <c:idx val="14"/>
          <c:order val="14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Charts!$C$5</c:f>
              <c:numCache>
                <c:formatCode>#,##0;\(#,##0\);\-</c:formatCode>
                <c:ptCount val="1"/>
                <c:pt idx="0">
                  <c:v>831000</c:v>
                </c:pt>
              </c:numCache>
            </c:numRef>
          </c:val>
        </c:ser>
        <c:ser>
          <c:idx val="15"/>
          <c:order val="15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Charts!$D$5</c:f>
              <c:numCache>
                <c:formatCode>#,##0;\(#,##0\);\-</c:formatCode>
                <c:ptCount val="1"/>
                <c:pt idx="0">
                  <c:v>833480</c:v>
                </c:pt>
              </c:numCache>
            </c:numRef>
          </c:val>
        </c:ser>
        <c:ser>
          <c:idx val="16"/>
          <c:order val="16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Charts!$E$5</c:f>
              <c:numCache>
                <c:formatCode>#,##0;\(#,##0\);\-</c:formatCode>
                <c:ptCount val="1"/>
                <c:pt idx="0">
                  <c:v>955972.4</c:v>
                </c:pt>
              </c:numCache>
            </c:numRef>
          </c:val>
        </c:ser>
        <c:ser>
          <c:idx val="17"/>
          <c:order val="17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Charts!$F$5</c:f>
              <c:numCache>
                <c:formatCode>#,##0;\(#,##0\);\-</c:formatCode>
                <c:ptCount val="1"/>
                <c:pt idx="0">
                  <c:v>838477.262</c:v>
                </c:pt>
              </c:numCache>
            </c:numRef>
          </c:val>
        </c:ser>
        <c:ser>
          <c:idx val="18"/>
          <c:order val="18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Charts!$G$5</c:f>
              <c:numCache>
                <c:formatCode>#,##0;\(#,##0\);\-</c:formatCode>
                <c:ptCount val="1"/>
                <c:pt idx="0">
                  <c:v>840994.64831</c:v>
                </c:pt>
              </c:numCache>
            </c:numRef>
          </c:val>
        </c:ser>
        <c:ser>
          <c:idx val="19"/>
          <c:order val="19"/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Charts!$H$5</c:f>
              <c:numCache>
                <c:formatCode>#,##0;\(#,##0\);\-</c:formatCode>
                <c:ptCount val="1"/>
                <c:pt idx="0">
                  <c:v>843524.62155155</c:v>
                </c:pt>
              </c:numCache>
            </c:numRef>
          </c:val>
        </c:ser>
        <c:ser>
          <c:idx val="20"/>
          <c:order val="20"/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Charts!$I$5</c:f>
              <c:numCache>
                <c:formatCode>#,##0;\(#,##0\);\-</c:formatCode>
                <c:ptCount val="1"/>
                <c:pt idx="0">
                  <c:v>1146067.24465931</c:v>
                </c:pt>
              </c:numCache>
            </c:numRef>
          </c:val>
        </c:ser>
        <c:ser>
          <c:idx val="21"/>
          <c:order val="21"/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Charts!$J$5</c:f>
              <c:numCache>
                <c:formatCode>#,##0;\(#,##0\);\-</c:formatCode>
                <c:ptCount val="1"/>
                <c:pt idx="0">
                  <c:v>848622.580882604</c:v>
                </c:pt>
              </c:numCache>
            </c:numRef>
          </c:val>
        </c:ser>
        <c:ser>
          <c:idx val="22"/>
          <c:order val="22"/>
          <c:spPr>
            <a:solidFill>
              <a:srgbClr val="92c3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Charts!$K$5</c:f>
              <c:numCache>
                <c:formatCode>#,##0;\(#,##0\);\-</c:formatCode>
                <c:ptCount val="1"/>
                <c:pt idx="0">
                  <c:v>851190.693787017</c:v>
                </c:pt>
              </c:numCache>
            </c:numRef>
          </c:val>
        </c:ser>
        <c:ser>
          <c:idx val="23"/>
          <c:order val="23"/>
          <c:spPr>
            <a:solidFill>
              <a:srgbClr val="f8b5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Charts!$L$5</c:f>
              <c:numCache>
                <c:formatCode>#,##0;\(#,##0\);\-</c:formatCode>
                <c:ptCount val="1"/>
                <c:pt idx="0">
                  <c:v>853771.647255952</c:v>
                </c:pt>
              </c:numCache>
            </c:numRef>
          </c:val>
        </c:ser>
        <c:ser>
          <c:idx val="24"/>
          <c:order val="24"/>
          <c:spPr>
            <a:solidFill>
              <a:srgbClr val="bdc8d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Charts!$M$5</c:f>
              <c:numCache>
                <c:formatCode>#,##0;\(#,##0\);\-</c:formatCode>
                <c:ptCount val="1"/>
                <c:pt idx="0">
                  <c:v>856365.505492232</c:v>
                </c:pt>
              </c:numCache>
            </c:numRef>
          </c:val>
        </c:ser>
        <c:ser>
          <c:idx val="25"/>
          <c:order val="25"/>
          <c:tx>
            <c:strRef>
              <c:f>"Total Outflows"</c:f>
              <c:strCache>
                <c:ptCount val="1"/>
                <c:pt idx="0">
                  <c:v>Total Outflows</c:v>
                </c:pt>
              </c:strCache>
            </c:strRef>
          </c:tx>
          <c:spPr>
            <a:solidFill>
              <a:srgbClr val="e0bdb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Charts!$N$5</c:f>
              <c:numCache>
                <c:formatCode>#,##0;\(#,##0\);\-</c:formatCode>
                <c:ptCount val="1"/>
                <c:pt idx="0">
                  <c:v>858972.333019693</c:v>
                </c:pt>
              </c:numCache>
            </c:numRef>
          </c:val>
        </c:ser>
        <c:gapWidth val="150"/>
        <c:overlap val="0"/>
        <c:axId val="89183928"/>
        <c:axId val="35066220"/>
      </c:barChart>
      <c:catAx>
        <c:axId val="89183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66220"/>
        <c:crosses val="autoZero"/>
        <c:auto val="1"/>
        <c:lblAlgn val="ctr"/>
        <c:lblOffset val="100"/>
        <c:noMultiLvlLbl val="0"/>
      </c:catAx>
      <c:valAx>
        <c:axId val="35066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83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Balance &amp; Cumulative NCF — 13-Week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385f8d"/>
            </a:solidFill>
            <a:ln w="47520">
              <a:solidFill>
                <a:srgbClr val="385f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Charts!$B$7</c:f>
              <c:numCache>
                <c:formatCode>#,##0;\(#,##0\);\-</c:formatCode>
                <c:ptCount val="1"/>
                <c:pt idx="0">
                  <c:v>2455000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03836"/>
            </a:solidFill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Charts!$C$7</c:f>
              <c:numCache>
                <c:formatCode>#,##0;\(#,##0\);\-</c:formatCode>
                <c:ptCount val="1"/>
                <c:pt idx="0">
                  <c:v>2275200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38c3f"/>
            </a:solidFill>
            <a:ln w="47520">
              <a:solidFill>
                <a:srgbClr val="738c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Charts!$D$7</c:f>
              <c:numCache>
                <c:formatCode>#,##0;\(#,##0\);\-</c:formatCode>
                <c:ptCount val="1"/>
                <c:pt idx="0">
                  <c:v>2255926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e4979"/>
            </a:solidFill>
            <a:ln w="47520">
              <a:solidFill>
                <a:srgbClr val="5e49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Charts!$E$7</c:f>
              <c:numCache>
                <c:formatCode>#,##0;\(#,##0\);\-</c:formatCode>
                <c:ptCount val="1"/>
                <c:pt idx="0">
                  <c:v>2157980.63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58094"/>
            </a:solidFill>
            <a:ln w="47520">
              <a:solidFill>
                <a:srgbClr val="3580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Charts!$F$7</c:f>
              <c:numCache>
                <c:formatCode>#,##0;\(#,##0\);\-</c:formatCode>
                <c:ptCount val="1"/>
                <c:pt idx="0">
                  <c:v>2181570.53315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6f30"/>
            </a:solidFill>
            <a:ln w="47520">
              <a:solidFill>
                <a:srgbClr val="b96f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Charts!$G$7</c:f>
              <c:numCache>
                <c:formatCode>#,##0;\(#,##0\);\-</c:formatCode>
                <c:ptCount val="1"/>
                <c:pt idx="0">
                  <c:v>2206703.38581575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Charts!$H$7</c:f>
              <c:numCache>
                <c:formatCode>#,##0;\(#,##0\);\-</c:formatCode>
                <c:ptCount val="1"/>
                <c:pt idx="0">
                  <c:v>2233386.90274483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Charts!$I$7</c:f>
              <c:numCache>
                <c:formatCode>#,##0;\(#,##0\);\-</c:formatCode>
                <c:ptCount val="1"/>
                <c:pt idx="0">
                  <c:v>1961628.83725855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Charts!$J$7</c:f>
              <c:numCache>
                <c:formatCode>#,##0;\(#,##0\);\-</c:formatCode>
                <c:ptCount val="1"/>
                <c:pt idx="0">
                  <c:v>1991436.98144484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Charts!$K$7</c:f>
              <c:numCache>
                <c:formatCode>#,##0;\(#,##0\);\-</c:formatCode>
                <c:ptCount val="1"/>
                <c:pt idx="0">
                  <c:v>2022819.16635207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Charts!$L$7</c:f>
              <c:numCache>
                <c:formatCode>#,##0;\(#,##0\);\-</c:formatCode>
                <c:ptCount val="1"/>
                <c:pt idx="0">
                  <c:v>2055783.26218383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Charts!$M$7</c:f>
              <c:numCache>
                <c:formatCode>#,##0;\(#,##0\);\-</c:formatCode>
                <c:ptCount val="1"/>
                <c:pt idx="0">
                  <c:v>2090337.17849475</c:v>
                </c:pt>
              </c:numCache>
            </c:numRef>
          </c:val>
          <c:smooth val="1"/>
        </c:ser>
        <c:ser>
          <c:idx val="12"/>
          <c:order val="12"/>
          <c:tx>
            <c:strRef>
              <c:f>"Closing Balance"</c:f>
              <c:strCache>
                <c:ptCount val="1"/>
                <c:pt idx="0">
                  <c:v>Closing Balance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Charts!$N$7</c:f>
              <c:numCache>
                <c:formatCode>#,##0;\(#,##0\);\-</c:formatCode>
                <c:ptCount val="1"/>
                <c:pt idx="0">
                  <c:v>2126488.86438722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Charts!$B$8</c:f>
              <c:numCache>
                <c:formatCode>#,##0;\(#,##0\);\-</c:formatCode>
                <c:ptCount val="1"/>
                <c:pt idx="0">
                  <c:v>-45000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Charts!$C$8</c:f>
              <c:numCache>
                <c:formatCode>#,##0;\(#,##0\);\-</c:formatCode>
                <c:ptCount val="1"/>
                <c:pt idx="0">
                  <c:v>-224800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Charts!$D$8</c:f>
              <c:numCache>
                <c:formatCode>#,##0;\(#,##0\);\-</c:formatCode>
                <c:ptCount val="1"/>
                <c:pt idx="0">
                  <c:v>-244074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Charts!$E$8</c:f>
              <c:numCache>
                <c:formatCode>#,##0;\(#,##0\);\-</c:formatCode>
                <c:ptCount val="1"/>
                <c:pt idx="0">
                  <c:v>-342019.37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9240"/>
            </a:solidFill>
            <a:ln w="4752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Charts!$F$8</c:f>
              <c:numCache>
                <c:formatCode>#,##0;\(#,##0\);\-</c:formatCode>
                <c:ptCount val="1"/>
                <c:pt idx="0">
                  <c:v>-318429.46685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Charts!$G$8</c:f>
              <c:numCache>
                <c:formatCode>#,##0;\(#,##0\);\-</c:formatCode>
                <c:ptCount val="1"/>
                <c:pt idx="0">
                  <c:v>-293296.614184251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Charts!$H$8</c:f>
              <c:numCache>
                <c:formatCode>#,##0;\(#,##0\);\-</c:formatCode>
                <c:ptCount val="1"/>
                <c:pt idx="0">
                  <c:v>-266613.097255172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Charts!$I$8</c:f>
              <c:numCache>
                <c:formatCode>#,##0;\(#,##0\);\-</c:formatCode>
                <c:ptCount val="1"/>
                <c:pt idx="0">
                  <c:v>-538371.162741448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Charts!$J$8</c:f>
              <c:numCache>
                <c:formatCode>#,##0;\(#,##0\);\-</c:formatCode>
                <c:ptCount val="1"/>
                <c:pt idx="0">
                  <c:v>-508563.018555155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Charts!$K$8</c:f>
              <c:numCache>
                <c:formatCode>#,##0;\(#,##0\);\-</c:formatCode>
                <c:ptCount val="1"/>
                <c:pt idx="0">
                  <c:v>-477180.833647931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Charts!$L$8</c:f>
              <c:numCache>
                <c:formatCode>#,##0;\(#,##0\);\-</c:formatCode>
                <c:ptCount val="1"/>
                <c:pt idx="0">
                  <c:v>-444216.737816171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b7c3da"/>
            </a:solidFill>
            <a:ln w="47520">
              <a:solidFill>
                <a:srgbClr val="b7c3d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Charts!$M$8</c:f>
              <c:numCache>
                <c:formatCode>#,##0;\(#,##0\);\-</c:formatCode>
                <c:ptCount val="1"/>
                <c:pt idx="0">
                  <c:v>-409662.821505253</c:v>
                </c:pt>
              </c:numCache>
            </c:numRef>
          </c:val>
          <c:smooth val="1"/>
        </c:ser>
        <c:ser>
          <c:idx val="25"/>
          <c:order val="25"/>
          <c:tx>
            <c:strRef>
              <c:f>"Cumulative NCF"</c:f>
              <c:strCache>
                <c:ptCount val="1"/>
                <c:pt idx="0">
                  <c:v>Cumulative NCF</c:v>
                </c:pt>
              </c:strCache>
            </c:strRef>
          </c:tx>
          <c:spPr>
            <a:solidFill>
              <a:srgbClr val="dcb7b6"/>
            </a:solidFill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Charts!$B$2:$N$2</c:f>
              <c:strCache>
                <c:ptCount val="13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  <c:pt idx="6">
                  <c:v>Wk 7</c:v>
                </c:pt>
                <c:pt idx="7">
                  <c:v>Wk 8</c:v>
                </c:pt>
                <c:pt idx="8">
                  <c:v>Wk 9</c:v>
                </c:pt>
                <c:pt idx="9">
                  <c:v>Wk 10</c:v>
                </c:pt>
                <c:pt idx="10">
                  <c:v>Wk 11</c:v>
                </c:pt>
                <c:pt idx="11">
                  <c:v>Wk 12</c:v>
                </c:pt>
                <c:pt idx="12">
                  <c:v>Wk 13</c:v>
                </c:pt>
              </c:strCache>
            </c:strRef>
          </c:cat>
          <c:val>
            <c:numRef>
              <c:f>Charts!$N$8</c:f>
              <c:numCache>
                <c:formatCode>#,##0;\(#,##0\);\-</c:formatCode>
                <c:ptCount val="1"/>
                <c:pt idx="0">
                  <c:v>-373511.135612779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515776"/>
        <c:axId val="5239899"/>
      </c:lineChart>
      <c:catAx>
        <c:axId val="225157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9899"/>
        <c:crosses val="autoZero"/>
        <c:auto val="1"/>
        <c:lblAlgn val="ctr"/>
        <c:lblOffset val="100"/>
        <c:noMultiLvlLbl val="0"/>
      </c:catAx>
      <c:valAx>
        <c:axId val="5239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15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392760</xdr:colOff>
      <xdr:row>35</xdr:row>
      <xdr:rowOff>86760</xdr:rowOff>
    </xdr:to>
    <xdr:graphicFrame>
      <xdr:nvGraphicFramePr>
        <xdr:cNvPr id="0" name="Chart 1"/>
        <xdr:cNvGraphicFramePr/>
      </xdr:nvGraphicFramePr>
      <xdr:xfrm>
        <a:off x="0" y="1847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392760</xdr:colOff>
      <xdr:row>53</xdr:row>
      <xdr:rowOff>86760</xdr:rowOff>
    </xdr:to>
    <xdr:graphicFrame>
      <xdr:nvGraphicFramePr>
        <xdr:cNvPr id="1" name="Chart 2"/>
        <xdr:cNvGraphicFramePr/>
      </xdr:nvGraphicFramePr>
      <xdr:xfrm>
        <a:off x="0" y="5276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6.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n">
        <v>2500000</v>
      </c>
      <c r="C4" s="6" t="s">
        <v>4</v>
      </c>
    </row>
    <row r="5" customFormat="false" ht="16.5" hidden="false" customHeight="true" outlineLevel="0" collapsed="false">
      <c r="A5" s="3" t="s">
        <v>5</v>
      </c>
      <c r="B5" s="3"/>
      <c r="C5" s="3"/>
    </row>
    <row r="6" customFormat="false" ht="15" hidden="false" customHeight="false" outlineLevel="0" collapsed="false">
      <c r="A6" s="4" t="s">
        <v>6</v>
      </c>
      <c r="B6" s="5" t="n">
        <v>800000</v>
      </c>
      <c r="C6" s="6" t="s">
        <v>7</v>
      </c>
    </row>
    <row r="7" customFormat="false" ht="15" hidden="false" customHeight="false" outlineLevel="0" collapsed="false">
      <c r="A7" s="7" t="s">
        <v>8</v>
      </c>
      <c r="B7" s="8" t="n">
        <v>0.005</v>
      </c>
      <c r="C7" s="9" t="s">
        <v>9</v>
      </c>
    </row>
    <row r="8" customFormat="false" ht="15" hidden="false" customHeight="false" outlineLevel="0" collapsed="false">
      <c r="A8" s="4" t="s">
        <v>10</v>
      </c>
      <c r="B8" s="10" t="n">
        <v>0.3</v>
      </c>
      <c r="C8" s="6" t="s">
        <v>11</v>
      </c>
    </row>
    <row r="9" customFormat="false" ht="15" hidden="false" customHeight="false" outlineLevel="0" collapsed="false">
      <c r="A9" s="7" t="s">
        <v>12</v>
      </c>
      <c r="B9" s="8" t="n">
        <v>0.45</v>
      </c>
      <c r="C9" s="9" t="s">
        <v>13</v>
      </c>
    </row>
    <row r="10" customFormat="false" ht="15" hidden="false" customHeight="false" outlineLevel="0" collapsed="false">
      <c r="A10" s="4" t="s">
        <v>14</v>
      </c>
      <c r="B10" s="10" t="n">
        <v>0.2</v>
      </c>
      <c r="C10" s="6" t="s">
        <v>15</v>
      </c>
    </row>
    <row r="11" customFormat="false" ht="15" hidden="false" customHeight="false" outlineLevel="0" collapsed="false">
      <c r="A11" s="7" t="s">
        <v>16</v>
      </c>
      <c r="B11" s="8" t="n">
        <v>0.05</v>
      </c>
      <c r="C11" s="9" t="s">
        <v>17</v>
      </c>
    </row>
    <row r="12" customFormat="false" ht="15" hidden="false" customHeight="false" outlineLevel="0" collapsed="false">
      <c r="A12" s="4" t="s">
        <v>18</v>
      </c>
      <c r="B12" s="5" t="n">
        <v>50000</v>
      </c>
      <c r="C12" s="6" t="s">
        <v>19</v>
      </c>
    </row>
    <row r="13" customFormat="false" ht="16.5" hidden="false" customHeight="true" outlineLevel="0" collapsed="false">
      <c r="A13" s="3" t="s">
        <v>20</v>
      </c>
      <c r="B13" s="3"/>
      <c r="C13" s="3"/>
    </row>
    <row r="14" customFormat="false" ht="15" hidden="false" customHeight="false" outlineLevel="0" collapsed="false">
      <c r="A14" s="4" t="s">
        <v>21</v>
      </c>
      <c r="B14" s="10" t="n">
        <v>0.62</v>
      </c>
      <c r="C14" s="6" t="s">
        <v>22</v>
      </c>
    </row>
    <row r="15" customFormat="false" ht="15" hidden="false" customHeight="false" outlineLevel="0" collapsed="false">
      <c r="A15" s="7" t="s">
        <v>23</v>
      </c>
      <c r="B15" s="11" t="n">
        <v>1</v>
      </c>
      <c r="C15" s="9" t="s">
        <v>24</v>
      </c>
    </row>
    <row r="16" customFormat="false" ht="15" hidden="false" customHeight="false" outlineLevel="0" collapsed="false">
      <c r="A16" s="4" t="s">
        <v>25</v>
      </c>
      <c r="B16" s="5" t="n">
        <v>180000</v>
      </c>
      <c r="C16" s="6" t="s">
        <v>26</v>
      </c>
    </row>
    <row r="17" customFormat="false" ht="15" hidden="false" customHeight="false" outlineLevel="0" collapsed="false">
      <c r="A17" s="7" t="s">
        <v>27</v>
      </c>
      <c r="B17" s="12" t="n">
        <v>35000</v>
      </c>
      <c r="C17" s="9" t="s">
        <v>28</v>
      </c>
    </row>
    <row r="18" customFormat="false" ht="15" hidden="false" customHeight="false" outlineLevel="0" collapsed="false">
      <c r="A18" s="4" t="s">
        <v>29</v>
      </c>
      <c r="B18" s="5" t="n">
        <v>55000</v>
      </c>
      <c r="C18" s="6" t="s">
        <v>30</v>
      </c>
    </row>
    <row r="19" customFormat="false" ht="15" hidden="false" customHeight="false" outlineLevel="0" collapsed="false">
      <c r="A19" s="7" t="s">
        <v>31</v>
      </c>
      <c r="B19" s="12" t="n">
        <v>25000</v>
      </c>
      <c r="C19" s="9" t="s">
        <v>32</v>
      </c>
    </row>
    <row r="20" customFormat="false" ht="15" hidden="false" customHeight="false" outlineLevel="0" collapsed="false">
      <c r="A20" s="4" t="s">
        <v>33</v>
      </c>
      <c r="B20" s="5" t="n">
        <v>40000</v>
      </c>
      <c r="C20" s="6" t="s">
        <v>34</v>
      </c>
    </row>
    <row r="21" customFormat="false" ht="15" hidden="false" customHeight="false" outlineLevel="0" collapsed="false">
      <c r="A21" s="7" t="s">
        <v>35</v>
      </c>
      <c r="B21" s="11" t="n">
        <v>4</v>
      </c>
      <c r="C21" s="9" t="s">
        <v>36</v>
      </c>
    </row>
    <row r="22" customFormat="false" ht="15" hidden="false" customHeight="false" outlineLevel="0" collapsed="false">
      <c r="A22" s="4" t="s">
        <v>37</v>
      </c>
      <c r="B22" s="5" t="n">
        <v>120000</v>
      </c>
      <c r="C22" s="6" t="s">
        <v>38</v>
      </c>
    </row>
    <row r="23" customFormat="false" ht="15" hidden="false" customHeight="false" outlineLevel="0" collapsed="false">
      <c r="A23" s="7" t="s">
        <v>39</v>
      </c>
      <c r="B23" s="11" t="n">
        <v>8</v>
      </c>
      <c r="C23" s="9" t="s">
        <v>36</v>
      </c>
    </row>
    <row r="24" customFormat="false" ht="15" hidden="false" customHeight="false" outlineLevel="0" collapsed="false">
      <c r="A24" s="4" t="s">
        <v>40</v>
      </c>
      <c r="B24" s="5" t="n">
        <v>300000</v>
      </c>
      <c r="C24" s="6" t="s">
        <v>41</v>
      </c>
    </row>
    <row r="25" customFormat="false" ht="16.5" hidden="false" customHeight="true" outlineLevel="0" collapsed="false">
      <c r="A25" s="3" t="s">
        <v>42</v>
      </c>
      <c r="B25" s="3"/>
      <c r="C25" s="3"/>
    </row>
    <row r="26" customFormat="false" ht="15" hidden="false" customHeight="false" outlineLevel="0" collapsed="false">
      <c r="A26" s="4" t="s">
        <v>43</v>
      </c>
      <c r="B26" s="5" t="n">
        <v>500000</v>
      </c>
      <c r="C26" s="6" t="s">
        <v>44</v>
      </c>
    </row>
    <row r="27" customFormat="false" ht="15" hidden="false" customHeight="false" outlineLevel="0" collapsed="false">
      <c r="A27" s="7" t="s">
        <v>45</v>
      </c>
      <c r="B27" s="12" t="n">
        <v>1000000</v>
      </c>
      <c r="C27" s="9" t="s">
        <v>46</v>
      </c>
    </row>
    <row r="28" customFormat="false" ht="16.5" hidden="false" customHeight="true" outlineLevel="0" collapsed="false">
      <c r="A28" s="3" t="s">
        <v>47</v>
      </c>
      <c r="B28" s="3"/>
      <c r="C28" s="3"/>
    </row>
    <row r="29" customFormat="false" ht="15" hidden="false" customHeight="false" outlineLevel="0" collapsed="false">
      <c r="A29" s="7" t="s">
        <v>48</v>
      </c>
      <c r="B29" s="13" t="n">
        <v>45782</v>
      </c>
      <c r="C29" s="9" t="s">
        <v>49</v>
      </c>
    </row>
  </sheetData>
  <mergeCells count="7">
    <mergeCell ref="A1:C1"/>
    <mergeCell ref="A2:C2"/>
    <mergeCell ref="A3:C3"/>
    <mergeCell ref="A5:C5"/>
    <mergeCell ref="A13:C13"/>
    <mergeCell ref="A25:C25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3"/>
  </cols>
  <sheetData>
    <row r="1" customFormat="false" ht="27.75" hidden="false" customHeight="true" outlineLevel="0" collapsed="false">
      <c r="A1" s="14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" hidden="false" customHeight="false" outlineLevel="0" collapsed="false">
      <c r="A2" s="15" t="s">
        <v>51</v>
      </c>
      <c r="B2" s="15" t="s">
        <v>52</v>
      </c>
      <c r="C2" s="15" t="s">
        <v>53</v>
      </c>
      <c r="D2" s="15" t="s">
        <v>54</v>
      </c>
      <c r="E2" s="15" t="s">
        <v>55</v>
      </c>
      <c r="F2" s="15" t="s">
        <v>56</v>
      </c>
      <c r="G2" s="15" t="s">
        <v>57</v>
      </c>
      <c r="H2" s="15" t="s">
        <v>58</v>
      </c>
      <c r="I2" s="15" t="s">
        <v>59</v>
      </c>
      <c r="J2" s="15" t="s">
        <v>60</v>
      </c>
      <c r="K2" s="15" t="s">
        <v>61</v>
      </c>
      <c r="L2" s="15" t="s">
        <v>62</v>
      </c>
      <c r="M2" s="15" t="s">
        <v>63</v>
      </c>
      <c r="N2" s="15" t="s">
        <v>64</v>
      </c>
      <c r="O2" s="15" t="s">
        <v>65</v>
      </c>
    </row>
    <row r="3" customFormat="false" ht="15" hidden="false" customHeight="false" outlineLevel="0" collapsed="false">
      <c r="A3" s="16" t="s">
        <v>66</v>
      </c>
      <c r="B3" s="17" t="n">
        <f aca="false">Assumptions!$B$29+(1-1)*7+6</f>
        <v>45788</v>
      </c>
      <c r="C3" s="17" t="n">
        <f aca="false">Assumptions!$B$29+(2-1)*7+6</f>
        <v>45795</v>
      </c>
      <c r="D3" s="17" t="n">
        <f aca="false">Assumptions!$B$29+(3-1)*7+6</f>
        <v>45802</v>
      </c>
      <c r="E3" s="17" t="n">
        <f aca="false">Assumptions!$B$29+(4-1)*7+6</f>
        <v>45809</v>
      </c>
      <c r="F3" s="17" t="n">
        <f aca="false">Assumptions!$B$29+(5-1)*7+6</f>
        <v>45816</v>
      </c>
      <c r="G3" s="17" t="n">
        <f aca="false">Assumptions!$B$29+(6-1)*7+6</f>
        <v>45823</v>
      </c>
      <c r="H3" s="17" t="n">
        <f aca="false">Assumptions!$B$29+(7-1)*7+6</f>
        <v>45830</v>
      </c>
      <c r="I3" s="17" t="n">
        <f aca="false">Assumptions!$B$29+(8-1)*7+6</f>
        <v>45837</v>
      </c>
      <c r="J3" s="17" t="n">
        <f aca="false">Assumptions!$B$29+(9-1)*7+6</f>
        <v>45844</v>
      </c>
      <c r="K3" s="17" t="n">
        <f aca="false">Assumptions!$B$29+(10-1)*7+6</f>
        <v>45851</v>
      </c>
      <c r="L3" s="17" t="n">
        <f aca="false">Assumptions!$B$29+(11-1)*7+6</f>
        <v>45858</v>
      </c>
      <c r="M3" s="17" t="n">
        <f aca="false">Assumptions!$B$29+(12-1)*7+6</f>
        <v>45865</v>
      </c>
      <c r="N3" s="17" t="n">
        <f aca="false">Assumptions!$B$29+(13-1)*7+6</f>
        <v>45872</v>
      </c>
    </row>
    <row r="4" customFormat="false" ht="15" hidden="false" customHeight="false" outlineLevel="0" collapsed="false">
      <c r="A4" s="18" t="s">
        <v>67</v>
      </c>
      <c r="B4" s="19" t="n">
        <f aca="false">Assumptions!$B$6*(1+Assumptions!$B$7)^(1-1)</f>
        <v>800000</v>
      </c>
      <c r="C4" s="19" t="n">
        <f aca="false">Assumptions!$B$6*(1+Assumptions!$B$7)^(2-1)</f>
        <v>804000</v>
      </c>
      <c r="D4" s="19" t="n">
        <f aca="false">Assumptions!$B$6*(1+Assumptions!$B$7)^(3-1)</f>
        <v>808020</v>
      </c>
      <c r="E4" s="19" t="n">
        <f aca="false">Assumptions!$B$6*(1+Assumptions!$B$7)^(4-1)</f>
        <v>812060.1</v>
      </c>
      <c r="F4" s="19" t="n">
        <f aca="false">Assumptions!$B$6*(1+Assumptions!$B$7)^(5-1)</f>
        <v>816120.4005</v>
      </c>
      <c r="G4" s="19" t="n">
        <f aca="false">Assumptions!$B$6*(1+Assumptions!$B$7)^(6-1)</f>
        <v>820201.0025025</v>
      </c>
      <c r="H4" s="19" t="n">
        <f aca="false">Assumptions!$B$6*(1+Assumptions!$B$7)^(7-1)</f>
        <v>824302.007515012</v>
      </c>
      <c r="I4" s="19" t="n">
        <f aca="false">Assumptions!$B$6*(1+Assumptions!$B$7)^(8-1)</f>
        <v>828423.517552587</v>
      </c>
      <c r="J4" s="19" t="n">
        <f aca="false">Assumptions!$B$6*(1+Assumptions!$B$7)^(9-1)</f>
        <v>832565.63514035</v>
      </c>
      <c r="K4" s="19" t="n">
        <f aca="false">Assumptions!$B$6*(1+Assumptions!$B$7)^(10-1)</f>
        <v>836728.463316051</v>
      </c>
      <c r="L4" s="19" t="n">
        <f aca="false">Assumptions!$B$6*(1+Assumptions!$B$7)^(11-1)</f>
        <v>840912.105632632</v>
      </c>
      <c r="M4" s="19" t="n">
        <f aca="false">Assumptions!$B$6*(1+Assumptions!$B$7)^(12-1)</f>
        <v>845116.666160795</v>
      </c>
      <c r="N4" s="19" t="n">
        <f aca="false">Assumptions!$B$6*(1+Assumptions!$B$7)^(13-1)</f>
        <v>849342.249491599</v>
      </c>
      <c r="O4" s="20" t="n">
        <f aca="false">SUM(B4:N4)</f>
        <v>10717792.1478115</v>
      </c>
    </row>
    <row r="5" customFormat="false" ht="15" hidden="false" customHeight="false" outlineLevel="0" collapsed="false">
      <c r="A5" s="7" t="s">
        <v>68</v>
      </c>
      <c r="B5" s="21" t="n">
        <f aca="false">B4*Assumptions!$B$8</f>
        <v>240000</v>
      </c>
      <c r="C5" s="21" t="n">
        <f aca="false">C4*Assumptions!$B$8</f>
        <v>241200</v>
      </c>
      <c r="D5" s="21" t="n">
        <f aca="false">D4*Assumptions!$B$8</f>
        <v>242406</v>
      </c>
      <c r="E5" s="21" t="n">
        <f aca="false">E4*Assumptions!$B$8</f>
        <v>243618.03</v>
      </c>
      <c r="F5" s="21" t="n">
        <f aca="false">F4*Assumptions!$B$8</f>
        <v>244836.12015</v>
      </c>
      <c r="G5" s="21" t="n">
        <f aca="false">G4*Assumptions!$B$8</f>
        <v>246060.30075075</v>
      </c>
      <c r="H5" s="21" t="n">
        <f aca="false">H4*Assumptions!$B$8</f>
        <v>247290.602254504</v>
      </c>
      <c r="I5" s="21" t="n">
        <f aca="false">I4*Assumptions!$B$8</f>
        <v>248527.055265776</v>
      </c>
      <c r="J5" s="21" t="n">
        <f aca="false">J4*Assumptions!$B$8</f>
        <v>249769.690542105</v>
      </c>
      <c r="K5" s="21" t="n">
        <f aca="false">K4*Assumptions!$B$8</f>
        <v>251018.538994815</v>
      </c>
      <c r="L5" s="21" t="n">
        <f aca="false">L4*Assumptions!$B$8</f>
        <v>252273.63168979</v>
      </c>
      <c r="M5" s="21" t="n">
        <f aca="false">M4*Assumptions!$B$8</f>
        <v>253534.999848238</v>
      </c>
      <c r="N5" s="21" t="n">
        <f aca="false">N4*Assumptions!$B$8</f>
        <v>254802.67484748</v>
      </c>
      <c r="O5" s="20" t="n">
        <f aca="false">SUM(B5:N5)</f>
        <v>3215337.64434346</v>
      </c>
    </row>
    <row r="6" customFormat="false" ht="15" hidden="false" customHeight="false" outlineLevel="0" collapsed="false">
      <c r="A6" s="4" t="s">
        <v>69</v>
      </c>
      <c r="B6" s="22" t="n">
        <v>0</v>
      </c>
      <c r="C6" s="23" t="n">
        <f aca="false">B4*Assumptions!$B$9</f>
        <v>360000</v>
      </c>
      <c r="D6" s="23" t="n">
        <f aca="false">C4*Assumptions!$B$9</f>
        <v>361800</v>
      </c>
      <c r="E6" s="23" t="n">
        <f aca="false">D4*Assumptions!$B$9</f>
        <v>363609</v>
      </c>
      <c r="F6" s="23" t="n">
        <f aca="false">E4*Assumptions!$B$9</f>
        <v>365427.045</v>
      </c>
      <c r="G6" s="23" t="n">
        <f aca="false">F4*Assumptions!$B$9</f>
        <v>367254.180225</v>
      </c>
      <c r="H6" s="23" t="n">
        <f aca="false">G4*Assumptions!$B$9</f>
        <v>369090.451126125</v>
      </c>
      <c r="I6" s="23" t="n">
        <f aca="false">H4*Assumptions!$B$9</f>
        <v>370935.903381755</v>
      </c>
      <c r="J6" s="23" t="n">
        <f aca="false">I4*Assumptions!$B$9</f>
        <v>372790.582898664</v>
      </c>
      <c r="K6" s="23" t="n">
        <f aca="false">J4*Assumptions!$B$9</f>
        <v>374654.535813157</v>
      </c>
      <c r="L6" s="23" t="n">
        <f aca="false">K4*Assumptions!$B$9</f>
        <v>376527.808492223</v>
      </c>
      <c r="M6" s="23" t="n">
        <f aca="false">L4*Assumptions!$B$9</f>
        <v>378410.447534684</v>
      </c>
      <c r="N6" s="23" t="n">
        <f aca="false">M4*Assumptions!$B$9</f>
        <v>380302.499772358</v>
      </c>
      <c r="O6" s="20" t="n">
        <f aca="false">SUM(B6:N6)</f>
        <v>4440802.45424397</v>
      </c>
    </row>
    <row r="7" customFormat="false" ht="15" hidden="false" customHeight="false" outlineLevel="0" collapsed="false">
      <c r="A7" s="7" t="s">
        <v>70</v>
      </c>
      <c r="B7" s="24" t="n">
        <v>0</v>
      </c>
      <c r="C7" s="24" t="n">
        <v>0</v>
      </c>
      <c r="D7" s="21" t="n">
        <f aca="false">B4*Assumptions!$B$10</f>
        <v>160000</v>
      </c>
      <c r="E7" s="21" t="n">
        <f aca="false">C4*Assumptions!$B$10</f>
        <v>160800</v>
      </c>
      <c r="F7" s="21" t="n">
        <f aca="false">D4*Assumptions!$B$10</f>
        <v>161604</v>
      </c>
      <c r="G7" s="21" t="n">
        <f aca="false">E4*Assumptions!$B$10</f>
        <v>162412.02</v>
      </c>
      <c r="H7" s="21" t="n">
        <f aca="false">F4*Assumptions!$B$10</f>
        <v>163224.0801</v>
      </c>
      <c r="I7" s="21" t="n">
        <f aca="false">G4*Assumptions!$B$10</f>
        <v>164040.2005005</v>
      </c>
      <c r="J7" s="21" t="n">
        <f aca="false">H4*Assumptions!$B$10</f>
        <v>164860.401503002</v>
      </c>
      <c r="K7" s="21" t="n">
        <f aca="false">I4*Assumptions!$B$10</f>
        <v>165684.703510517</v>
      </c>
      <c r="L7" s="21" t="n">
        <f aca="false">J4*Assumptions!$B$10</f>
        <v>166513.12702807</v>
      </c>
      <c r="M7" s="21" t="n">
        <f aca="false">K4*Assumptions!$B$10</f>
        <v>167345.69266321</v>
      </c>
      <c r="N7" s="21" t="n">
        <f aca="false">L4*Assumptions!$B$10</f>
        <v>168182.421126526</v>
      </c>
      <c r="O7" s="20" t="n">
        <f aca="false">SUM(B7:N7)</f>
        <v>1804666.64643183</v>
      </c>
    </row>
    <row r="8" customFormat="false" ht="15" hidden="false" customHeight="false" outlineLevel="0" collapsed="false">
      <c r="A8" s="4" t="s">
        <v>71</v>
      </c>
      <c r="B8" s="22" t="n">
        <v>0</v>
      </c>
      <c r="C8" s="22" t="n">
        <v>0</v>
      </c>
      <c r="D8" s="22" t="n">
        <v>0</v>
      </c>
      <c r="E8" s="23" t="n">
        <f aca="false">B4*Assumptions!$B$11</f>
        <v>40000</v>
      </c>
      <c r="F8" s="23" t="n">
        <f aca="false">C4*Assumptions!$B$11</f>
        <v>40200</v>
      </c>
      <c r="G8" s="23" t="n">
        <f aca="false">D4*Assumptions!$B$11</f>
        <v>40401</v>
      </c>
      <c r="H8" s="23" t="n">
        <f aca="false">E4*Assumptions!$B$11</f>
        <v>40603.005</v>
      </c>
      <c r="I8" s="23" t="n">
        <f aca="false">F4*Assumptions!$B$11</f>
        <v>40806.020025</v>
      </c>
      <c r="J8" s="23" t="n">
        <f aca="false">G4*Assumptions!$B$11</f>
        <v>41010.050125125</v>
      </c>
      <c r="K8" s="23" t="n">
        <f aca="false">H4*Assumptions!$B$11</f>
        <v>41215.1003757506</v>
      </c>
      <c r="L8" s="23" t="n">
        <f aca="false">I4*Assumptions!$B$11</f>
        <v>41421.1758776294</v>
      </c>
      <c r="M8" s="23" t="n">
        <f aca="false">J4*Assumptions!$B$11</f>
        <v>41628.2817570175</v>
      </c>
      <c r="N8" s="23" t="n">
        <f aca="false">K4*Assumptions!$B$11</f>
        <v>41836.4231658026</v>
      </c>
      <c r="O8" s="20" t="n">
        <f aca="false">SUM(B8:N8)</f>
        <v>409121.056326325</v>
      </c>
    </row>
    <row r="9" customFormat="false" ht="15" hidden="false" customHeight="false" outlineLevel="0" collapsed="false">
      <c r="A9" s="25" t="s">
        <v>72</v>
      </c>
      <c r="B9" s="26" t="n">
        <f aca="false">SUM(B5:B8)</f>
        <v>240000</v>
      </c>
      <c r="C9" s="26" t="n">
        <f aca="false">SUM(C5:C8)</f>
        <v>601200</v>
      </c>
      <c r="D9" s="26" t="n">
        <f aca="false">SUM(D5:D8)</f>
        <v>764206</v>
      </c>
      <c r="E9" s="26" t="n">
        <f aca="false">SUM(E5:E8)</f>
        <v>808027.03</v>
      </c>
      <c r="F9" s="26" t="n">
        <f aca="false">SUM(F5:F8)</f>
        <v>812067.16515</v>
      </c>
      <c r="G9" s="26" t="n">
        <f aca="false">SUM(G5:G8)</f>
        <v>816127.50097575</v>
      </c>
      <c r="H9" s="26" t="n">
        <f aca="false">SUM(H5:H8)</f>
        <v>820208.138480628</v>
      </c>
      <c r="I9" s="26" t="n">
        <f aca="false">SUM(I5:I8)</f>
        <v>824309.179173032</v>
      </c>
      <c r="J9" s="26" t="n">
        <f aca="false">SUM(J5:J8)</f>
        <v>828430.725068897</v>
      </c>
      <c r="K9" s="26" t="n">
        <f aca="false">SUM(K5:K8)</f>
        <v>832572.878694241</v>
      </c>
      <c r="L9" s="26" t="n">
        <f aca="false">SUM(L5:L8)</f>
        <v>836735.743087712</v>
      </c>
      <c r="M9" s="26" t="n">
        <f aca="false">SUM(M5:M8)</f>
        <v>840919.42180315</v>
      </c>
      <c r="N9" s="26" t="n">
        <f aca="false">SUM(N5:N8)</f>
        <v>845124.018912166</v>
      </c>
      <c r="O9" s="26" t="n">
        <f aca="false">SUM(O5:O8)</f>
        <v>9869927.80134557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6" min="2" style="0" width="13"/>
  </cols>
  <sheetData>
    <row r="1" customFormat="false" ht="36" hidden="false" customHeight="true" outlineLevel="0" collapsed="false">
      <c r="A1" s="27" t="s">
        <v>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8" t="s">
        <v>75</v>
      </c>
      <c r="B3" s="28" t="s">
        <v>76</v>
      </c>
      <c r="C3" s="28" t="s">
        <v>77</v>
      </c>
      <c r="D3" s="28" t="s">
        <v>78</v>
      </c>
      <c r="E3" s="28" t="s">
        <v>79</v>
      </c>
      <c r="F3" s="28" t="s">
        <v>80</v>
      </c>
      <c r="G3" s="28" t="s">
        <v>81</v>
      </c>
      <c r="H3" s="28" t="s">
        <v>82</v>
      </c>
      <c r="I3" s="28" t="s">
        <v>83</v>
      </c>
      <c r="J3" s="28" t="s">
        <v>84</v>
      </c>
      <c r="K3" s="28" t="s">
        <v>85</v>
      </c>
      <c r="L3" s="28" t="s">
        <v>86</v>
      </c>
      <c r="M3" s="28" t="s">
        <v>87</v>
      </c>
      <c r="N3" s="28" t="s">
        <v>88</v>
      </c>
      <c r="O3" s="28" t="s">
        <v>89</v>
      </c>
      <c r="P3" s="28" t="s">
        <v>90</v>
      </c>
    </row>
    <row r="4" customFormat="false" ht="18" hidden="false" customHeight="true" outlineLevel="0" collapsed="false">
      <c r="A4" s="29" t="s">
        <v>66</v>
      </c>
      <c r="B4" s="17" t="n">
        <f aca="false">'Sales Schedule'!B3</f>
        <v>45788</v>
      </c>
      <c r="C4" s="17" t="n">
        <f aca="false">'Sales Schedule'!C3</f>
        <v>45795</v>
      </c>
      <c r="D4" s="17" t="n">
        <f aca="false">'Sales Schedule'!D3</f>
        <v>45802</v>
      </c>
      <c r="E4" s="17" t="n">
        <f aca="false">'Sales Schedule'!E3</f>
        <v>45809</v>
      </c>
      <c r="F4" s="17" t="n">
        <f aca="false">'Sales Schedule'!F3</f>
        <v>45816</v>
      </c>
      <c r="G4" s="17" t="n">
        <f aca="false">'Sales Schedule'!G3</f>
        <v>45823</v>
      </c>
      <c r="H4" s="17" t="n">
        <f aca="false">'Sales Schedule'!H3</f>
        <v>45830</v>
      </c>
      <c r="I4" s="17" t="n">
        <f aca="false">'Sales Schedule'!I3</f>
        <v>45837</v>
      </c>
      <c r="J4" s="17" t="n">
        <f aca="false">'Sales Schedule'!J3</f>
        <v>45844</v>
      </c>
      <c r="K4" s="17" t="n">
        <f aca="false">'Sales Schedule'!K3</f>
        <v>45851</v>
      </c>
      <c r="L4" s="17" t="n">
        <f aca="false">'Sales Schedule'!L3</f>
        <v>45858</v>
      </c>
      <c r="M4" s="17" t="n">
        <f aca="false">'Sales Schedule'!M3</f>
        <v>45865</v>
      </c>
      <c r="N4" s="17" t="n">
        <f aca="false">'Sales Schedule'!N3</f>
        <v>45872</v>
      </c>
      <c r="O4" s="30" t="s">
        <v>91</v>
      </c>
      <c r="P4" s="30" t="s">
        <v>91</v>
      </c>
    </row>
    <row r="5" customFormat="false" ht="16.5" hidden="false" customHeight="true" outlineLevel="0" collapsed="false">
      <c r="A5" s="31" t="s">
        <v>92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customFormat="false" ht="15" hidden="false" customHeight="false" outlineLevel="0" collapsed="false">
      <c r="A6" s="32" t="s">
        <v>3</v>
      </c>
      <c r="B6" s="33" t="n">
        <f aca="false">Assumptions!$B$4</f>
        <v>2500000</v>
      </c>
      <c r="C6" s="33" t="n">
        <f aca="false">B23</f>
        <v>2455000</v>
      </c>
      <c r="D6" s="33" t="n">
        <f aca="false">C23</f>
        <v>2275200</v>
      </c>
      <c r="E6" s="33" t="n">
        <f aca="false">D23</f>
        <v>2255926</v>
      </c>
      <c r="F6" s="33" t="n">
        <f aca="false">E23</f>
        <v>2157980.63</v>
      </c>
      <c r="G6" s="33" t="n">
        <f aca="false">F23</f>
        <v>2181570.53315</v>
      </c>
      <c r="H6" s="33" t="n">
        <f aca="false">G23</f>
        <v>2206703.38581575</v>
      </c>
      <c r="I6" s="33" t="n">
        <f aca="false">H23</f>
        <v>2233386.90274483</v>
      </c>
      <c r="J6" s="33" t="n">
        <f aca="false">I23</f>
        <v>1961628.83725855</v>
      </c>
      <c r="K6" s="33" t="n">
        <f aca="false">J23</f>
        <v>1991436.98144484</v>
      </c>
      <c r="L6" s="33" t="n">
        <f aca="false">K23</f>
        <v>2022819.16635207</v>
      </c>
      <c r="M6" s="33" t="n">
        <f aca="false">L23</f>
        <v>2055783.26218383</v>
      </c>
      <c r="N6" s="33" t="n">
        <f aca="false">M23</f>
        <v>2090337.17849475</v>
      </c>
      <c r="O6" s="30" t="s">
        <v>91</v>
      </c>
      <c r="P6" s="34" t="n">
        <f aca="false">AVERAGE(B6:N6)</f>
        <v>2183674.83672651</v>
      </c>
    </row>
    <row r="7" customFormat="false" ht="16.5" hidden="false" customHeight="true" outlineLevel="0" collapsed="false">
      <c r="A7" s="35" t="s">
        <v>93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customFormat="false" ht="15" hidden="false" customHeight="false" outlineLevel="0" collapsed="false">
      <c r="A8" s="36" t="s">
        <v>94</v>
      </c>
      <c r="B8" s="37" t="n">
        <f aca="false">'Sales Schedule'!B9</f>
        <v>240000</v>
      </c>
      <c r="C8" s="37" t="n">
        <f aca="false">'Sales Schedule'!C9</f>
        <v>601200</v>
      </c>
      <c r="D8" s="37" t="n">
        <f aca="false">'Sales Schedule'!D9</f>
        <v>764206</v>
      </c>
      <c r="E8" s="37" t="n">
        <f aca="false">'Sales Schedule'!E9</f>
        <v>808027.03</v>
      </c>
      <c r="F8" s="37" t="n">
        <f aca="false">'Sales Schedule'!F9</f>
        <v>812067.16515</v>
      </c>
      <c r="G8" s="37" t="n">
        <f aca="false">'Sales Schedule'!G9</f>
        <v>816127.50097575</v>
      </c>
      <c r="H8" s="37" t="n">
        <f aca="false">'Sales Schedule'!H9</f>
        <v>820208.138480628</v>
      </c>
      <c r="I8" s="37" t="n">
        <f aca="false">'Sales Schedule'!I9</f>
        <v>824309.179173032</v>
      </c>
      <c r="J8" s="37" t="n">
        <f aca="false">'Sales Schedule'!J9</f>
        <v>828430.725068897</v>
      </c>
      <c r="K8" s="37" t="n">
        <f aca="false">'Sales Schedule'!K9</f>
        <v>832572.878694241</v>
      </c>
      <c r="L8" s="37" t="n">
        <f aca="false">'Sales Schedule'!L9</f>
        <v>836735.743087712</v>
      </c>
      <c r="M8" s="37" t="n">
        <f aca="false">'Sales Schedule'!M9</f>
        <v>840919.42180315</v>
      </c>
      <c r="N8" s="37" t="n">
        <f aca="false">'Sales Schedule'!N9</f>
        <v>845124.018912166</v>
      </c>
      <c r="O8" s="38" t="n">
        <f aca="false">SUM(B8:N8)</f>
        <v>9869927.80134558</v>
      </c>
      <c r="P8" s="39" t="n">
        <f aca="false">AVERAGE(B8:N8)</f>
        <v>759225.215488121</v>
      </c>
    </row>
    <row r="9" customFormat="false" ht="15" hidden="false" customHeight="false" outlineLevel="0" collapsed="false">
      <c r="A9" s="40" t="s">
        <v>95</v>
      </c>
      <c r="B9" s="41" t="n">
        <f aca="false">Assumptions!$B$12</f>
        <v>50000</v>
      </c>
      <c r="C9" s="41" t="n">
        <f aca="false">Assumptions!$B$12</f>
        <v>50000</v>
      </c>
      <c r="D9" s="41" t="n">
        <f aca="false">Assumptions!$B$12</f>
        <v>50000</v>
      </c>
      <c r="E9" s="41" t="n">
        <f aca="false">Assumptions!$B$12</f>
        <v>50000</v>
      </c>
      <c r="F9" s="41" t="n">
        <f aca="false">Assumptions!$B$12</f>
        <v>50000</v>
      </c>
      <c r="G9" s="41" t="n">
        <f aca="false">Assumptions!$B$12</f>
        <v>50000</v>
      </c>
      <c r="H9" s="41" t="n">
        <f aca="false">Assumptions!$B$12</f>
        <v>50000</v>
      </c>
      <c r="I9" s="41" t="n">
        <f aca="false">Assumptions!$B$12</f>
        <v>50000</v>
      </c>
      <c r="J9" s="41" t="n">
        <f aca="false">Assumptions!$B$12</f>
        <v>50000</v>
      </c>
      <c r="K9" s="41" t="n">
        <f aca="false">Assumptions!$B$12</f>
        <v>50000</v>
      </c>
      <c r="L9" s="41" t="n">
        <f aca="false">Assumptions!$B$12</f>
        <v>50000</v>
      </c>
      <c r="M9" s="41" t="n">
        <f aca="false">Assumptions!$B$12</f>
        <v>50000</v>
      </c>
      <c r="N9" s="41" t="n">
        <f aca="false">Assumptions!$B$12</f>
        <v>50000</v>
      </c>
      <c r="O9" s="42" t="n">
        <f aca="false">SUM(B9:N9)</f>
        <v>650000</v>
      </c>
      <c r="P9" s="43" t="n">
        <f aca="false">AVERAGE(B9:N9)</f>
        <v>50000</v>
      </c>
    </row>
    <row r="10" customFormat="false" ht="15" hidden="false" customHeight="false" outlineLevel="0" collapsed="false">
      <c r="A10" s="44" t="s">
        <v>96</v>
      </c>
      <c r="B10" s="45" t="n">
        <f aca="false">SUM(B8:B9)</f>
        <v>290000</v>
      </c>
      <c r="C10" s="45" t="n">
        <f aca="false">SUM(C8:C9)</f>
        <v>651200</v>
      </c>
      <c r="D10" s="45" t="n">
        <f aca="false">SUM(D8:D9)</f>
        <v>814206</v>
      </c>
      <c r="E10" s="45" t="n">
        <f aca="false">SUM(E8:E9)</f>
        <v>858027.03</v>
      </c>
      <c r="F10" s="45" t="n">
        <f aca="false">SUM(F8:F9)</f>
        <v>862067.16515</v>
      </c>
      <c r="G10" s="45" t="n">
        <f aca="false">SUM(G8:G9)</f>
        <v>866127.50097575</v>
      </c>
      <c r="H10" s="45" t="n">
        <f aca="false">SUM(H8:H9)</f>
        <v>870208.138480628</v>
      </c>
      <c r="I10" s="45" t="n">
        <f aca="false">SUM(I8:I9)</f>
        <v>874309.179173032</v>
      </c>
      <c r="J10" s="45" t="n">
        <f aca="false">SUM(J8:J9)</f>
        <v>878430.725068897</v>
      </c>
      <c r="K10" s="45" t="n">
        <f aca="false">SUM(K8:K9)</f>
        <v>882572.878694241</v>
      </c>
      <c r="L10" s="45" t="n">
        <f aca="false">SUM(L8:L9)</f>
        <v>886735.743087712</v>
      </c>
      <c r="M10" s="45" t="n">
        <f aca="false">SUM(M8:M9)</f>
        <v>890919.42180315</v>
      </c>
      <c r="N10" s="45" t="n">
        <f aca="false">SUM(N8:N9)</f>
        <v>895124.018912166</v>
      </c>
      <c r="O10" s="46" t="n">
        <f aca="false">SUM(B10:N10)</f>
        <v>10519927.8013456</v>
      </c>
      <c r="P10" s="47" t="n">
        <f aca="false">AVERAGE(B10:N10)</f>
        <v>809225.215488121</v>
      </c>
    </row>
    <row r="11" customFormat="false" ht="16.5" hidden="false" customHeight="true" outlineLevel="0" collapsed="false">
      <c r="A11" s="35" t="s">
        <v>97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customFormat="false" ht="15" hidden="false" customHeight="false" outlineLevel="0" collapsed="false">
      <c r="A12" s="48" t="s">
        <v>98</v>
      </c>
      <c r="B12" s="49" t="n">
        <f aca="false">0</f>
        <v>0</v>
      </c>
      <c r="C12" s="49" t="n">
        <f aca="false">'Sales Schedule'!B4*Assumptions!$B$14</f>
        <v>496000</v>
      </c>
      <c r="D12" s="49" t="n">
        <f aca="false">'Sales Schedule'!C4*Assumptions!$B$14</f>
        <v>498480</v>
      </c>
      <c r="E12" s="49" t="n">
        <f aca="false">'Sales Schedule'!D4*Assumptions!$B$14</f>
        <v>500972.4</v>
      </c>
      <c r="F12" s="49" t="n">
        <f aca="false">'Sales Schedule'!E4*Assumptions!$B$14</f>
        <v>503477.262</v>
      </c>
      <c r="G12" s="49" t="n">
        <f aca="false">'Sales Schedule'!F4*Assumptions!$B$14</f>
        <v>505994.64831</v>
      </c>
      <c r="H12" s="49" t="n">
        <f aca="false">'Sales Schedule'!G4*Assumptions!$B$14</f>
        <v>508524.62155155</v>
      </c>
      <c r="I12" s="49" t="n">
        <f aca="false">'Sales Schedule'!H4*Assumptions!$B$14</f>
        <v>511067.244659308</v>
      </c>
      <c r="J12" s="49" t="n">
        <f aca="false">'Sales Schedule'!I4*Assumptions!$B$14</f>
        <v>513622.580882604</v>
      </c>
      <c r="K12" s="49" t="n">
        <f aca="false">'Sales Schedule'!J4*Assumptions!$B$14</f>
        <v>516190.693787017</v>
      </c>
      <c r="L12" s="49" t="n">
        <f aca="false">'Sales Schedule'!K4*Assumptions!$B$14</f>
        <v>518771.647255952</v>
      </c>
      <c r="M12" s="49" t="n">
        <f aca="false">'Sales Schedule'!L4*Assumptions!$B$14</f>
        <v>521365.505492232</v>
      </c>
      <c r="N12" s="49" t="n">
        <f aca="false">'Sales Schedule'!M4*Assumptions!$B$14</f>
        <v>523972.333019693</v>
      </c>
      <c r="O12" s="50" t="n">
        <f aca="false">SUM(B12:N12)</f>
        <v>6118438.93695835</v>
      </c>
      <c r="P12" s="51" t="n">
        <f aca="false">AVERAGE(B12:N12)</f>
        <v>470649.148996796</v>
      </c>
    </row>
    <row r="13" customFormat="false" ht="15" hidden="false" customHeight="false" outlineLevel="0" collapsed="false">
      <c r="A13" s="40" t="s">
        <v>99</v>
      </c>
      <c r="B13" s="41" t="n">
        <f aca="false">Assumptions!$B$16</f>
        <v>180000</v>
      </c>
      <c r="C13" s="41" t="n">
        <f aca="false">Assumptions!$B$16</f>
        <v>180000</v>
      </c>
      <c r="D13" s="41" t="n">
        <f aca="false">Assumptions!$B$16</f>
        <v>180000</v>
      </c>
      <c r="E13" s="41" t="n">
        <f aca="false">Assumptions!$B$16</f>
        <v>180000</v>
      </c>
      <c r="F13" s="41" t="n">
        <f aca="false">Assumptions!$B$16</f>
        <v>180000</v>
      </c>
      <c r="G13" s="41" t="n">
        <f aca="false">Assumptions!$B$16</f>
        <v>180000</v>
      </c>
      <c r="H13" s="41" t="n">
        <f aca="false">Assumptions!$B$16</f>
        <v>180000</v>
      </c>
      <c r="I13" s="41" t="n">
        <f aca="false">Assumptions!$B$16</f>
        <v>180000</v>
      </c>
      <c r="J13" s="41" t="n">
        <f aca="false">Assumptions!$B$16</f>
        <v>180000</v>
      </c>
      <c r="K13" s="41" t="n">
        <f aca="false">Assumptions!$B$16</f>
        <v>180000</v>
      </c>
      <c r="L13" s="41" t="n">
        <f aca="false">Assumptions!$B$16</f>
        <v>180000</v>
      </c>
      <c r="M13" s="41" t="n">
        <f aca="false">Assumptions!$B$16</f>
        <v>180000</v>
      </c>
      <c r="N13" s="41" t="n">
        <f aca="false">Assumptions!$B$16</f>
        <v>180000</v>
      </c>
      <c r="O13" s="42" t="n">
        <f aca="false">SUM(B13:N13)</f>
        <v>2340000</v>
      </c>
      <c r="P13" s="43" t="n">
        <f aca="false">AVERAGE(B13:N13)</f>
        <v>180000</v>
      </c>
    </row>
    <row r="14" customFormat="false" ht="15" hidden="false" customHeight="false" outlineLevel="0" collapsed="false">
      <c r="A14" s="36" t="s">
        <v>100</v>
      </c>
      <c r="B14" s="37" t="n">
        <f aca="false">Assumptions!$B$17</f>
        <v>35000</v>
      </c>
      <c r="C14" s="37" t="n">
        <f aca="false">Assumptions!$B$17</f>
        <v>35000</v>
      </c>
      <c r="D14" s="37" t="n">
        <f aca="false">Assumptions!$B$17</f>
        <v>35000</v>
      </c>
      <c r="E14" s="37" t="n">
        <f aca="false">Assumptions!$B$17</f>
        <v>35000</v>
      </c>
      <c r="F14" s="37" t="n">
        <f aca="false">Assumptions!$B$17</f>
        <v>35000</v>
      </c>
      <c r="G14" s="37" t="n">
        <f aca="false">Assumptions!$B$17</f>
        <v>35000</v>
      </c>
      <c r="H14" s="37" t="n">
        <f aca="false">Assumptions!$B$17</f>
        <v>35000</v>
      </c>
      <c r="I14" s="37" t="n">
        <f aca="false">Assumptions!$B$17</f>
        <v>35000</v>
      </c>
      <c r="J14" s="37" t="n">
        <f aca="false">Assumptions!$B$17</f>
        <v>35000</v>
      </c>
      <c r="K14" s="37" t="n">
        <f aca="false">Assumptions!$B$17</f>
        <v>35000</v>
      </c>
      <c r="L14" s="37" t="n">
        <f aca="false">Assumptions!$B$17</f>
        <v>35000</v>
      </c>
      <c r="M14" s="37" t="n">
        <f aca="false">Assumptions!$B$17</f>
        <v>35000</v>
      </c>
      <c r="N14" s="37" t="n">
        <f aca="false">Assumptions!$B$17</f>
        <v>35000</v>
      </c>
      <c r="O14" s="38" t="n">
        <f aca="false">SUM(B14:N14)</f>
        <v>455000</v>
      </c>
      <c r="P14" s="39" t="n">
        <f aca="false">AVERAGE(B14:N14)</f>
        <v>35000</v>
      </c>
    </row>
    <row r="15" customFormat="false" ht="15" hidden="false" customHeight="false" outlineLevel="0" collapsed="false">
      <c r="A15" s="40" t="s">
        <v>101</v>
      </c>
      <c r="B15" s="41" t="n">
        <f aca="false">Assumptions!$B$18</f>
        <v>55000</v>
      </c>
      <c r="C15" s="41" t="n">
        <f aca="false">Assumptions!$B$18</f>
        <v>55000</v>
      </c>
      <c r="D15" s="41" t="n">
        <f aca="false">Assumptions!$B$18</f>
        <v>55000</v>
      </c>
      <c r="E15" s="41" t="n">
        <f aca="false">Assumptions!$B$18</f>
        <v>55000</v>
      </c>
      <c r="F15" s="41" t="n">
        <f aca="false">Assumptions!$B$18</f>
        <v>55000</v>
      </c>
      <c r="G15" s="41" t="n">
        <f aca="false">Assumptions!$B$18</f>
        <v>55000</v>
      </c>
      <c r="H15" s="41" t="n">
        <f aca="false">Assumptions!$B$18</f>
        <v>55000</v>
      </c>
      <c r="I15" s="41" t="n">
        <f aca="false">Assumptions!$B$18</f>
        <v>55000</v>
      </c>
      <c r="J15" s="41" t="n">
        <f aca="false">Assumptions!$B$18</f>
        <v>55000</v>
      </c>
      <c r="K15" s="41" t="n">
        <f aca="false">Assumptions!$B$18</f>
        <v>55000</v>
      </c>
      <c r="L15" s="41" t="n">
        <f aca="false">Assumptions!$B$18</f>
        <v>55000</v>
      </c>
      <c r="M15" s="41" t="n">
        <f aca="false">Assumptions!$B$18</f>
        <v>55000</v>
      </c>
      <c r="N15" s="41" t="n">
        <f aca="false">Assumptions!$B$18</f>
        <v>55000</v>
      </c>
      <c r="O15" s="42" t="n">
        <f aca="false">SUM(B15:N15)</f>
        <v>715000</v>
      </c>
      <c r="P15" s="43" t="n">
        <f aca="false">AVERAGE(B15:N15)</f>
        <v>55000</v>
      </c>
    </row>
    <row r="16" customFormat="false" ht="15" hidden="false" customHeight="false" outlineLevel="0" collapsed="false">
      <c r="A16" s="36" t="s">
        <v>102</v>
      </c>
      <c r="B16" s="37" t="n">
        <f aca="false">Assumptions!$B$19</f>
        <v>25000</v>
      </c>
      <c r="C16" s="37" t="n">
        <f aca="false">Assumptions!$B$19</f>
        <v>25000</v>
      </c>
      <c r="D16" s="37" t="n">
        <f aca="false">Assumptions!$B$19</f>
        <v>25000</v>
      </c>
      <c r="E16" s="37" t="n">
        <f aca="false">Assumptions!$B$19</f>
        <v>25000</v>
      </c>
      <c r="F16" s="37" t="n">
        <f aca="false">Assumptions!$B$19</f>
        <v>25000</v>
      </c>
      <c r="G16" s="37" t="n">
        <f aca="false">Assumptions!$B$19</f>
        <v>25000</v>
      </c>
      <c r="H16" s="37" t="n">
        <f aca="false">Assumptions!$B$19</f>
        <v>25000</v>
      </c>
      <c r="I16" s="37" t="n">
        <f aca="false">Assumptions!$B$19</f>
        <v>25000</v>
      </c>
      <c r="J16" s="37" t="n">
        <f aca="false">Assumptions!$B$19</f>
        <v>25000</v>
      </c>
      <c r="K16" s="37" t="n">
        <f aca="false">Assumptions!$B$19</f>
        <v>25000</v>
      </c>
      <c r="L16" s="37" t="n">
        <f aca="false">Assumptions!$B$19</f>
        <v>25000</v>
      </c>
      <c r="M16" s="37" t="n">
        <f aca="false">Assumptions!$B$19</f>
        <v>25000</v>
      </c>
      <c r="N16" s="37" t="n">
        <f aca="false">Assumptions!$B$19</f>
        <v>25000</v>
      </c>
      <c r="O16" s="38" t="n">
        <f aca="false">SUM(B16:N16)</f>
        <v>325000</v>
      </c>
      <c r="P16" s="39" t="n">
        <f aca="false">AVERAGE(B16:N16)</f>
        <v>25000</v>
      </c>
    </row>
    <row r="17" customFormat="false" ht="15" hidden="false" customHeight="false" outlineLevel="0" collapsed="false">
      <c r="A17" s="40" t="s">
        <v>103</v>
      </c>
      <c r="B17" s="41" t="n">
        <f aca="false">Assumptions!$B$20</f>
        <v>40000</v>
      </c>
      <c r="C17" s="41" t="n">
        <f aca="false">Assumptions!$B$20</f>
        <v>40000</v>
      </c>
      <c r="D17" s="41" t="n">
        <f aca="false">Assumptions!$B$20</f>
        <v>40000</v>
      </c>
      <c r="E17" s="41" t="n">
        <f aca="false">Assumptions!$B$20</f>
        <v>40000</v>
      </c>
      <c r="F17" s="41" t="n">
        <f aca="false">Assumptions!$B$20</f>
        <v>40000</v>
      </c>
      <c r="G17" s="41" t="n">
        <f aca="false">Assumptions!$B$20</f>
        <v>40000</v>
      </c>
      <c r="H17" s="41" t="n">
        <f aca="false">Assumptions!$B$20</f>
        <v>40000</v>
      </c>
      <c r="I17" s="41" t="n">
        <f aca="false">Assumptions!$B$20</f>
        <v>40000</v>
      </c>
      <c r="J17" s="41" t="n">
        <f aca="false">Assumptions!$B$20</f>
        <v>40000</v>
      </c>
      <c r="K17" s="41" t="n">
        <f aca="false">Assumptions!$B$20</f>
        <v>40000</v>
      </c>
      <c r="L17" s="41" t="n">
        <f aca="false">Assumptions!$B$20</f>
        <v>40000</v>
      </c>
      <c r="M17" s="41" t="n">
        <f aca="false">Assumptions!$B$20</f>
        <v>40000</v>
      </c>
      <c r="N17" s="41" t="n">
        <f aca="false">Assumptions!$B$20</f>
        <v>40000</v>
      </c>
      <c r="O17" s="42" t="n">
        <f aca="false">SUM(B17:N17)</f>
        <v>520000</v>
      </c>
      <c r="P17" s="43" t="n">
        <f aca="false">AVERAGE(B17:N17)</f>
        <v>40000</v>
      </c>
    </row>
    <row r="18" customFormat="false" ht="15" hidden="false" customHeight="false" outlineLevel="0" collapsed="false">
      <c r="A18" s="48" t="s">
        <v>104</v>
      </c>
      <c r="B18" s="49" t="n">
        <f aca="false">IF(1=Assumptions!$B$21,Assumptions!$B$22,0)</f>
        <v>0</v>
      </c>
      <c r="C18" s="49" t="n">
        <f aca="false">IF(2=Assumptions!$B$21,Assumptions!$B$22,0)</f>
        <v>0</v>
      </c>
      <c r="D18" s="49" t="n">
        <f aca="false">IF(3=Assumptions!$B$21,Assumptions!$B$22,0)</f>
        <v>0</v>
      </c>
      <c r="E18" s="49" t="n">
        <f aca="false">IF(4=Assumptions!$B$21,Assumptions!$B$22,0)</f>
        <v>120000</v>
      </c>
      <c r="F18" s="49" t="n">
        <f aca="false">IF(5=Assumptions!$B$21,Assumptions!$B$22,0)</f>
        <v>0</v>
      </c>
      <c r="G18" s="49" t="n">
        <f aca="false">IF(6=Assumptions!$B$21,Assumptions!$B$22,0)</f>
        <v>0</v>
      </c>
      <c r="H18" s="49" t="n">
        <f aca="false">IF(7=Assumptions!$B$21,Assumptions!$B$22,0)</f>
        <v>0</v>
      </c>
      <c r="I18" s="49" t="n">
        <f aca="false">IF(8=Assumptions!$B$21,Assumptions!$B$22,0)</f>
        <v>0</v>
      </c>
      <c r="J18" s="49" t="n">
        <f aca="false">IF(9=Assumptions!$B$21,Assumptions!$B$22,0)</f>
        <v>0</v>
      </c>
      <c r="K18" s="49" t="n">
        <f aca="false">IF(10=Assumptions!$B$21,Assumptions!$B$22,0)</f>
        <v>0</v>
      </c>
      <c r="L18" s="49" t="n">
        <f aca="false">IF(11=Assumptions!$B$21,Assumptions!$B$22,0)</f>
        <v>0</v>
      </c>
      <c r="M18" s="49" t="n">
        <f aca="false">IF(12=Assumptions!$B$21,Assumptions!$B$22,0)</f>
        <v>0</v>
      </c>
      <c r="N18" s="49" t="n">
        <f aca="false">IF(13=Assumptions!$B$21,Assumptions!$B$22,0)</f>
        <v>0</v>
      </c>
      <c r="O18" s="50" t="n">
        <f aca="false">SUM(B18:N18)</f>
        <v>120000</v>
      </c>
      <c r="P18" s="51" t="n">
        <f aca="false">AVERAGE(B18:N18)</f>
        <v>9230.76923076923</v>
      </c>
    </row>
    <row r="19" customFormat="false" ht="15" hidden="false" customHeight="false" outlineLevel="0" collapsed="false">
      <c r="A19" s="52" t="s">
        <v>105</v>
      </c>
      <c r="B19" s="53" t="n">
        <f aca="false">IF(1=Assumptions!$B$23,Assumptions!$B$24,0)</f>
        <v>0</v>
      </c>
      <c r="C19" s="53" t="n">
        <f aca="false">IF(2=Assumptions!$B$23,Assumptions!$B$24,0)</f>
        <v>0</v>
      </c>
      <c r="D19" s="53" t="n">
        <f aca="false">IF(3=Assumptions!$B$23,Assumptions!$B$24,0)</f>
        <v>0</v>
      </c>
      <c r="E19" s="53" t="n">
        <f aca="false">IF(4=Assumptions!$B$23,Assumptions!$B$24,0)</f>
        <v>0</v>
      </c>
      <c r="F19" s="53" t="n">
        <f aca="false">IF(5=Assumptions!$B$23,Assumptions!$B$24,0)</f>
        <v>0</v>
      </c>
      <c r="G19" s="53" t="n">
        <f aca="false">IF(6=Assumptions!$B$23,Assumptions!$B$24,0)</f>
        <v>0</v>
      </c>
      <c r="H19" s="53" t="n">
        <f aca="false">IF(7=Assumptions!$B$23,Assumptions!$B$24,0)</f>
        <v>0</v>
      </c>
      <c r="I19" s="53" t="n">
        <f aca="false">IF(8=Assumptions!$B$23,Assumptions!$B$24,0)</f>
        <v>300000</v>
      </c>
      <c r="J19" s="53" t="n">
        <f aca="false">IF(9=Assumptions!$B$23,Assumptions!$B$24,0)</f>
        <v>0</v>
      </c>
      <c r="K19" s="53" t="n">
        <f aca="false">IF(10=Assumptions!$B$23,Assumptions!$B$24,0)</f>
        <v>0</v>
      </c>
      <c r="L19" s="53" t="n">
        <f aca="false">IF(11=Assumptions!$B$23,Assumptions!$B$24,0)</f>
        <v>0</v>
      </c>
      <c r="M19" s="53" t="n">
        <f aca="false">IF(12=Assumptions!$B$23,Assumptions!$B$24,0)</f>
        <v>0</v>
      </c>
      <c r="N19" s="53" t="n">
        <f aca="false">IF(13=Assumptions!$B$23,Assumptions!$B$24,0)</f>
        <v>0</v>
      </c>
      <c r="O19" s="54" t="n">
        <f aca="false">SUM(B19:N19)</f>
        <v>300000</v>
      </c>
      <c r="P19" s="55" t="n">
        <f aca="false">AVERAGE(B19:N19)</f>
        <v>23076.9230769231</v>
      </c>
    </row>
    <row r="20" customFormat="false" ht="15" hidden="false" customHeight="false" outlineLevel="0" collapsed="false">
      <c r="A20" s="56" t="s">
        <v>106</v>
      </c>
      <c r="B20" s="57" t="n">
        <f aca="false">SUM(B12:B19)</f>
        <v>335000</v>
      </c>
      <c r="C20" s="57" t="n">
        <f aca="false">SUM(C12:C19)</f>
        <v>831000</v>
      </c>
      <c r="D20" s="57" t="n">
        <f aca="false">SUM(D12:D19)</f>
        <v>833480</v>
      </c>
      <c r="E20" s="57" t="n">
        <f aca="false">SUM(E12:E19)</f>
        <v>955972.4</v>
      </c>
      <c r="F20" s="57" t="n">
        <f aca="false">SUM(F12:F19)</f>
        <v>838477.262</v>
      </c>
      <c r="G20" s="57" t="n">
        <f aca="false">SUM(G12:G19)</f>
        <v>840994.64831</v>
      </c>
      <c r="H20" s="57" t="n">
        <f aca="false">SUM(H12:H19)</f>
        <v>843524.62155155</v>
      </c>
      <c r="I20" s="57" t="n">
        <f aca="false">SUM(I12:I19)</f>
        <v>1146067.24465931</v>
      </c>
      <c r="J20" s="57" t="n">
        <f aca="false">SUM(J12:J19)</f>
        <v>848622.580882604</v>
      </c>
      <c r="K20" s="57" t="n">
        <f aca="false">SUM(K12:K19)</f>
        <v>851190.693787017</v>
      </c>
      <c r="L20" s="57" t="n">
        <f aca="false">SUM(L12:L19)</f>
        <v>853771.647255952</v>
      </c>
      <c r="M20" s="57" t="n">
        <f aca="false">SUM(M12:M19)</f>
        <v>856365.505492232</v>
      </c>
      <c r="N20" s="57" t="n">
        <f aca="false">SUM(N12:N19)</f>
        <v>858972.333019693</v>
      </c>
      <c r="O20" s="58" t="n">
        <f aca="false">SUM(B20:N20)</f>
        <v>10893438.9369584</v>
      </c>
      <c r="P20" s="59" t="n">
        <f aca="false">AVERAGE(B20:N20)</f>
        <v>837956.841304489</v>
      </c>
    </row>
    <row r="21" customFormat="false" ht="16.5" hidden="false" customHeight="true" outlineLevel="0" collapsed="false">
      <c r="A21" s="31" t="s">
        <v>107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customFormat="false" ht="15" hidden="false" customHeight="false" outlineLevel="0" collapsed="false">
      <c r="A22" s="44" t="s">
        <v>108</v>
      </c>
      <c r="B22" s="45" t="n">
        <f aca="false">B10-B20</f>
        <v>-45000</v>
      </c>
      <c r="C22" s="45" t="n">
        <f aca="false">C10-C20</f>
        <v>-179800</v>
      </c>
      <c r="D22" s="45" t="n">
        <f aca="false">D10-D20</f>
        <v>-19274.0000000001</v>
      </c>
      <c r="E22" s="45" t="n">
        <f aca="false">E10-E20</f>
        <v>-97945.3700000001</v>
      </c>
      <c r="F22" s="45" t="n">
        <f aca="false">F10-F20</f>
        <v>23589.9031499999</v>
      </c>
      <c r="G22" s="45" t="n">
        <f aca="false">G10-G20</f>
        <v>25132.8526657498</v>
      </c>
      <c r="H22" s="45" t="n">
        <f aca="false">H10-H20</f>
        <v>26683.5169290785</v>
      </c>
      <c r="I22" s="45" t="n">
        <f aca="false">I10-I20</f>
        <v>-271758.065486276</v>
      </c>
      <c r="J22" s="45" t="n">
        <f aca="false">J10-J20</f>
        <v>29808.1441862925</v>
      </c>
      <c r="K22" s="45" t="n">
        <f aca="false">K10-K20</f>
        <v>31382.1849072239</v>
      </c>
      <c r="L22" s="45" t="n">
        <f aca="false">L10-L20</f>
        <v>32964.0958317601</v>
      </c>
      <c r="M22" s="45" t="n">
        <f aca="false">M10-M20</f>
        <v>34553.9163109189</v>
      </c>
      <c r="N22" s="45" t="n">
        <f aca="false">N10-N20</f>
        <v>36151.6858924734</v>
      </c>
      <c r="O22" s="46" t="n">
        <f aca="false">SUM(B22:N22)</f>
        <v>-373511.135612779</v>
      </c>
      <c r="P22" s="47" t="n">
        <f aca="false">AVERAGE(B22:N22)</f>
        <v>-28731.6258163676</v>
      </c>
    </row>
    <row r="23" customFormat="false" ht="15" hidden="false" customHeight="false" outlineLevel="0" collapsed="false">
      <c r="A23" s="60" t="s">
        <v>109</v>
      </c>
      <c r="B23" s="61" t="n">
        <f aca="false">B6+B22</f>
        <v>2455000</v>
      </c>
      <c r="C23" s="61" t="n">
        <f aca="false">C6+C22</f>
        <v>2275200</v>
      </c>
      <c r="D23" s="61" t="n">
        <f aca="false">D6+D22</f>
        <v>2255926</v>
      </c>
      <c r="E23" s="61" t="n">
        <f aca="false">E6+E22</f>
        <v>2157980.63</v>
      </c>
      <c r="F23" s="61" t="n">
        <f aca="false">F6+F22</f>
        <v>2181570.53315</v>
      </c>
      <c r="G23" s="61" t="n">
        <f aca="false">G6+G22</f>
        <v>2206703.38581575</v>
      </c>
      <c r="H23" s="61" t="n">
        <f aca="false">H6+H22</f>
        <v>2233386.90274483</v>
      </c>
      <c r="I23" s="61" t="n">
        <f aca="false">I6+I22</f>
        <v>1961628.83725855</v>
      </c>
      <c r="J23" s="61" t="n">
        <f aca="false">J6+J22</f>
        <v>1991436.98144484</v>
      </c>
      <c r="K23" s="61" t="n">
        <f aca="false">K6+K22</f>
        <v>2022819.16635207</v>
      </c>
      <c r="L23" s="61" t="n">
        <f aca="false">L6+L22</f>
        <v>2055783.26218383</v>
      </c>
      <c r="M23" s="61" t="n">
        <f aca="false">M6+M22</f>
        <v>2090337.17849475</v>
      </c>
      <c r="N23" s="61" t="n">
        <f aca="false">N6+N22</f>
        <v>2126488.86438722</v>
      </c>
      <c r="O23" s="62" t="n">
        <f aca="false">SUM(B23:N23)</f>
        <v>28014261.7418318</v>
      </c>
      <c r="P23" s="63" t="n">
        <f aca="false">AVERAGE(B23:N23)</f>
        <v>2154943.21091014</v>
      </c>
    </row>
    <row r="24" customFormat="false" ht="16.5" hidden="false" customHeight="true" outlineLevel="0" collapsed="false">
      <c r="A24" s="35" t="s">
        <v>110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customFormat="false" ht="15" hidden="false" customHeight="false" outlineLevel="0" collapsed="false">
      <c r="A25" s="64" t="s">
        <v>111</v>
      </c>
      <c r="B25" s="65" t="str">
        <f aca="false">IF(B23&lt;Assumptions!$B$26,"⚠ LOW","✓ OK")</f>
        <v>✓ OK</v>
      </c>
      <c r="C25" s="65" t="str">
        <f aca="false">IF(C23&lt;Assumptions!$B$26,"⚠ LOW","✓ OK")</f>
        <v>✓ OK</v>
      </c>
      <c r="D25" s="65" t="str">
        <f aca="false">IF(D23&lt;Assumptions!$B$26,"⚠ LOW","✓ OK")</f>
        <v>✓ OK</v>
      </c>
      <c r="E25" s="65" t="str">
        <f aca="false">IF(E23&lt;Assumptions!$B$26,"⚠ LOW","✓ OK")</f>
        <v>✓ OK</v>
      </c>
      <c r="F25" s="65" t="str">
        <f aca="false">IF(F23&lt;Assumptions!$B$26,"⚠ LOW","✓ OK")</f>
        <v>✓ OK</v>
      </c>
      <c r="G25" s="65" t="str">
        <f aca="false">IF(G23&lt;Assumptions!$B$26,"⚠ LOW","✓ OK")</f>
        <v>✓ OK</v>
      </c>
      <c r="H25" s="65" t="str">
        <f aca="false">IF(H23&lt;Assumptions!$B$26,"⚠ LOW","✓ OK")</f>
        <v>✓ OK</v>
      </c>
      <c r="I25" s="65" t="str">
        <f aca="false">IF(I23&lt;Assumptions!$B$26,"⚠ LOW","✓ OK")</f>
        <v>✓ OK</v>
      </c>
      <c r="J25" s="65" t="str">
        <f aca="false">IF(J23&lt;Assumptions!$B$26,"⚠ LOW","✓ OK")</f>
        <v>✓ OK</v>
      </c>
      <c r="K25" s="65" t="str">
        <f aca="false">IF(K23&lt;Assumptions!$B$26,"⚠ LOW","✓ OK")</f>
        <v>✓ OK</v>
      </c>
      <c r="L25" s="65" t="str">
        <f aca="false">IF(L23&lt;Assumptions!$B$26,"⚠ LOW","✓ OK")</f>
        <v>✓ OK</v>
      </c>
      <c r="M25" s="65" t="str">
        <f aca="false">IF(M23&lt;Assumptions!$B$26,"⚠ LOW","✓ OK")</f>
        <v>✓ OK</v>
      </c>
      <c r="N25" s="65" t="str">
        <f aca="false">IF(N23&lt;Assumptions!$B$26,"⚠ LOW","✓ OK")</f>
        <v>✓ OK</v>
      </c>
      <c r="O25" s="30" t="str">
        <f aca="false">COUNTIF(B25:N25,"⚠ LOW")&amp;" low weeks"</f>
        <v>0 low weeks</v>
      </c>
    </row>
    <row r="26" customFormat="false" ht="15" hidden="false" customHeight="false" outlineLevel="0" collapsed="false">
      <c r="A26" s="52" t="s">
        <v>112</v>
      </c>
      <c r="B26" s="53" t="n">
        <f aca="false">SUM($B$22:B22)</f>
        <v>-45000</v>
      </c>
      <c r="C26" s="53" t="n">
        <f aca="false">SUM($B$22:C22)</f>
        <v>-224800</v>
      </c>
      <c r="D26" s="53" t="n">
        <f aca="false">SUM($B$22:D22)</f>
        <v>-244074</v>
      </c>
      <c r="E26" s="53" t="n">
        <f aca="false">SUM($B$22:E22)</f>
        <v>-342019.37</v>
      </c>
      <c r="F26" s="53" t="n">
        <f aca="false">SUM($B$22:F22)</f>
        <v>-318429.46685</v>
      </c>
      <c r="G26" s="53" t="n">
        <f aca="false">SUM($B$22:G22)</f>
        <v>-293296.614184251</v>
      </c>
      <c r="H26" s="53" t="n">
        <f aca="false">SUM($B$22:H22)</f>
        <v>-266613.097255172</v>
      </c>
      <c r="I26" s="53" t="n">
        <f aca="false">SUM($B$22:I22)</f>
        <v>-538371.162741448</v>
      </c>
      <c r="J26" s="53" t="n">
        <f aca="false">SUM($B$22:J22)</f>
        <v>-508563.018555155</v>
      </c>
      <c r="K26" s="53" t="n">
        <f aca="false">SUM($B$22:K22)</f>
        <v>-477180.833647931</v>
      </c>
      <c r="L26" s="53" t="n">
        <f aca="false">SUM($B$22:L22)</f>
        <v>-444216.737816171</v>
      </c>
      <c r="M26" s="53" t="n">
        <f aca="false">SUM($B$22:M22)</f>
        <v>-409662.821505253</v>
      </c>
      <c r="N26" s="53" t="n">
        <f aca="false">SUM($B$22:N22)</f>
        <v>-373511.135612779</v>
      </c>
      <c r="O26" s="54" t="n">
        <f aca="false">N26</f>
        <v>-373511.135612779</v>
      </c>
      <c r="P26" s="55"/>
    </row>
    <row r="27" customFormat="false" ht="15" hidden="false" customHeight="false" outlineLevel="0" collapsed="false">
      <c r="A27" s="66" t="s">
        <v>113</v>
      </c>
      <c r="B27" s="67" t="n">
        <f aca="false">MIN(B23:N23)</f>
        <v>1961628.83725855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</row>
    <row r="28" customFormat="false" ht="15" hidden="false" customHeight="false" outlineLevel="0" collapsed="false">
      <c r="A28" s="66" t="s">
        <v>114</v>
      </c>
      <c r="B28" s="68" t="n">
        <f aca="false">MAX(B23:N23)</f>
        <v>2455000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</row>
    <row r="29" customFormat="false" ht="16.5" hidden="false" customHeight="true" outlineLevel="0" collapsed="false">
      <c r="A29" s="35" t="s">
        <v>115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</row>
    <row r="30" customFormat="false" ht="15" hidden="false" customHeight="false" outlineLevel="0" collapsed="false">
      <c r="A30" s="4" t="s">
        <v>116</v>
      </c>
      <c r="B30" s="69" t="n">
        <f aca="false">SUM(B10:N10)</f>
        <v>10519927.8013456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</row>
    <row r="31" customFormat="false" ht="15" hidden="false" customHeight="false" outlineLevel="0" collapsed="false">
      <c r="A31" s="7" t="s">
        <v>117</v>
      </c>
      <c r="B31" s="70" t="n">
        <f aca="false">SUM(B20:N20)</f>
        <v>10893438.9369584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</row>
    <row r="32" customFormat="false" ht="15" hidden="false" customHeight="false" outlineLevel="0" collapsed="false">
      <c r="A32" s="4" t="s">
        <v>118</v>
      </c>
      <c r="B32" s="69" t="n">
        <f aca="false">B30-B31</f>
        <v>-373511.135612778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</row>
    <row r="33" customFormat="false" ht="15" hidden="false" customHeight="false" outlineLevel="0" collapsed="false">
      <c r="A33" s="7" t="s">
        <v>119</v>
      </c>
      <c r="B33" s="70" t="n">
        <f aca="false">B32/13</f>
        <v>-28731.6258163676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</row>
    <row r="34" customFormat="false" ht="15" hidden="false" customHeight="false" outlineLevel="0" collapsed="false">
      <c r="A34" s="4" t="s">
        <v>120</v>
      </c>
      <c r="B34" s="71" t="n">
        <f aca="false">COUNTIF(B22:N22,"&gt;0")</f>
        <v>8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customFormat="false" ht="15" hidden="false" customHeight="false" outlineLevel="0" collapsed="false">
      <c r="A35" s="7" t="s">
        <v>121</v>
      </c>
      <c r="B35" s="72" t="n">
        <f aca="false">COUNTIF(B23:N23,"&lt;"&amp;Assumptions!$B$26)</f>
        <v>0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</sheetData>
  <mergeCells count="16">
    <mergeCell ref="A1:P1"/>
    <mergeCell ref="A2:P2"/>
    <mergeCell ref="A5:P5"/>
    <mergeCell ref="A7:P7"/>
    <mergeCell ref="A11:P11"/>
    <mergeCell ref="A21:P21"/>
    <mergeCell ref="A24:P24"/>
    <mergeCell ref="B27:P27"/>
    <mergeCell ref="B28:P28"/>
    <mergeCell ref="A29:P29"/>
    <mergeCell ref="B30:P30"/>
    <mergeCell ref="B31:P31"/>
    <mergeCell ref="B32:P32"/>
    <mergeCell ref="B33:P33"/>
    <mergeCell ref="B34:P34"/>
    <mergeCell ref="B35:P35"/>
  </mergeCells>
  <conditionalFormatting sqref="B23:N23">
    <cfRule type="colorScale" priority="2">
      <colorScale>
        <cfvo type="min" val="0"/>
        <cfvo type="percentile" val="50"/>
        <cfvo type="max" val="0"/>
        <color rgb="FFFCE4D6"/>
        <color rgb="FFFFFFC0"/>
        <color rgb="FFE2EFDA"/>
      </colorScale>
    </cfRule>
  </conditionalFormatting>
  <conditionalFormatting sqref="B25:N25">
    <cfRule type="cellIs" priority="3" operator="equal" aboveAverage="0" equalAverage="0" bottom="0" percent="0" rank="0" text="" dxfId="0">
      <formula>"⚠ LOW"</formula>
    </cfRule>
    <cfRule type="cellIs" priority="4" operator="equal" aboveAverage="0" equalAverage="0" bottom="0" percent="0" rank="0" text="" dxfId="1">
      <formula>"✓ OK"</formula>
    </cfRule>
  </conditionalFormatting>
  <conditionalFormatting sqref="B22:N22">
    <cfRule type="expression" priority="5" aboveAverage="0" equalAverage="0" bottom="0" percent="0" rank="0" text="" dxfId="0">
      <formula>B22&lt;0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5" min="2" style="0" width="13"/>
  </cols>
  <sheetData>
    <row r="1" customFormat="false" ht="25.5" hidden="false" customHeight="true" outlineLevel="0" collapsed="false">
      <c r="A1" s="73" t="s">
        <v>122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customFormat="false" ht="15" hidden="false" customHeight="false" outlineLevel="0" collapsed="false">
      <c r="A2" s="15" t="s">
        <v>123</v>
      </c>
      <c r="B2" s="15" t="s">
        <v>52</v>
      </c>
      <c r="C2" s="15" t="s">
        <v>53</v>
      </c>
      <c r="D2" s="15" t="s">
        <v>54</v>
      </c>
      <c r="E2" s="15" t="s">
        <v>55</v>
      </c>
      <c r="F2" s="15" t="s">
        <v>56</v>
      </c>
      <c r="G2" s="15" t="s">
        <v>57</v>
      </c>
      <c r="H2" s="15" t="s">
        <v>58</v>
      </c>
      <c r="I2" s="15" t="s">
        <v>59</v>
      </c>
      <c r="J2" s="15" t="s">
        <v>60</v>
      </c>
      <c r="K2" s="15" t="s">
        <v>61</v>
      </c>
      <c r="L2" s="15" t="s">
        <v>62</v>
      </c>
      <c r="M2" s="15" t="s">
        <v>63</v>
      </c>
      <c r="N2" s="15" t="s">
        <v>64</v>
      </c>
      <c r="O2" s="15" t="s">
        <v>124</v>
      </c>
    </row>
    <row r="3" customFormat="false" ht="15" hidden="false" customHeight="false" outlineLevel="0" collapsed="false">
      <c r="A3" s="74" t="s">
        <v>125</v>
      </c>
      <c r="B3" s="75" t="n">
        <f aca="false">'Cash Flow Forecast'!B6</f>
        <v>2500000</v>
      </c>
      <c r="C3" s="75" t="n">
        <f aca="false">'Cash Flow Forecast'!C6</f>
        <v>2455000</v>
      </c>
      <c r="D3" s="75" t="n">
        <f aca="false">'Cash Flow Forecast'!D6</f>
        <v>2275200</v>
      </c>
      <c r="E3" s="75" t="n">
        <f aca="false">'Cash Flow Forecast'!E6</f>
        <v>2255926</v>
      </c>
      <c r="F3" s="75" t="n">
        <f aca="false">'Cash Flow Forecast'!F6</f>
        <v>2157980.63</v>
      </c>
      <c r="G3" s="75" t="n">
        <f aca="false">'Cash Flow Forecast'!G6</f>
        <v>2181570.53315</v>
      </c>
      <c r="H3" s="75" t="n">
        <f aca="false">'Cash Flow Forecast'!H6</f>
        <v>2206703.38581575</v>
      </c>
      <c r="I3" s="75" t="n">
        <f aca="false">'Cash Flow Forecast'!I6</f>
        <v>2233386.90274483</v>
      </c>
      <c r="J3" s="75" t="n">
        <f aca="false">'Cash Flow Forecast'!J6</f>
        <v>1961628.83725855</v>
      </c>
      <c r="K3" s="75" t="n">
        <f aca="false">'Cash Flow Forecast'!K6</f>
        <v>1991436.98144484</v>
      </c>
      <c r="L3" s="75" t="n">
        <f aca="false">'Cash Flow Forecast'!L6</f>
        <v>2022819.16635207</v>
      </c>
      <c r="M3" s="75" t="n">
        <f aca="false">'Cash Flow Forecast'!M6</f>
        <v>2055783.26218383</v>
      </c>
      <c r="N3" s="75" t="n">
        <f aca="false">'Cash Flow Forecast'!N6</f>
        <v>2090337.17849475</v>
      </c>
      <c r="O3" s="20" t="str">
        <f aca="false">'Cash Flow Forecast'!O6</f>
        <v>—</v>
      </c>
    </row>
    <row r="4" customFormat="false" ht="15" hidden="false" customHeight="false" outlineLevel="0" collapsed="false">
      <c r="A4" s="76" t="s">
        <v>126</v>
      </c>
      <c r="B4" s="77" t="n">
        <f aca="false">'Cash Flow Forecast'!B10</f>
        <v>290000</v>
      </c>
      <c r="C4" s="77" t="n">
        <f aca="false">'Cash Flow Forecast'!C10</f>
        <v>651200</v>
      </c>
      <c r="D4" s="77" t="n">
        <f aca="false">'Cash Flow Forecast'!D10</f>
        <v>814206</v>
      </c>
      <c r="E4" s="77" t="n">
        <f aca="false">'Cash Flow Forecast'!E10</f>
        <v>858027.03</v>
      </c>
      <c r="F4" s="77" t="n">
        <f aca="false">'Cash Flow Forecast'!F10</f>
        <v>862067.16515</v>
      </c>
      <c r="G4" s="77" t="n">
        <f aca="false">'Cash Flow Forecast'!G10</f>
        <v>866127.50097575</v>
      </c>
      <c r="H4" s="77" t="n">
        <f aca="false">'Cash Flow Forecast'!H10</f>
        <v>870208.138480628</v>
      </c>
      <c r="I4" s="77" t="n">
        <f aca="false">'Cash Flow Forecast'!I10</f>
        <v>874309.179173032</v>
      </c>
      <c r="J4" s="77" t="n">
        <f aca="false">'Cash Flow Forecast'!J10</f>
        <v>878430.725068897</v>
      </c>
      <c r="K4" s="77" t="n">
        <f aca="false">'Cash Flow Forecast'!K10</f>
        <v>882572.878694241</v>
      </c>
      <c r="L4" s="77" t="n">
        <f aca="false">'Cash Flow Forecast'!L10</f>
        <v>886735.743087712</v>
      </c>
      <c r="M4" s="77" t="n">
        <f aca="false">'Cash Flow Forecast'!M10</f>
        <v>890919.42180315</v>
      </c>
      <c r="N4" s="77" t="n">
        <f aca="false">'Cash Flow Forecast'!N10</f>
        <v>895124.018912166</v>
      </c>
      <c r="O4" s="20" t="n">
        <f aca="false">'Cash Flow Forecast'!O10</f>
        <v>10519927.8013456</v>
      </c>
    </row>
    <row r="5" customFormat="false" ht="15" hidden="false" customHeight="false" outlineLevel="0" collapsed="false">
      <c r="A5" s="74" t="s">
        <v>127</v>
      </c>
      <c r="B5" s="75" t="n">
        <f aca="false">'Cash Flow Forecast'!B20</f>
        <v>335000</v>
      </c>
      <c r="C5" s="75" t="n">
        <f aca="false">'Cash Flow Forecast'!C20</f>
        <v>831000</v>
      </c>
      <c r="D5" s="75" t="n">
        <f aca="false">'Cash Flow Forecast'!D20</f>
        <v>833480</v>
      </c>
      <c r="E5" s="75" t="n">
        <f aca="false">'Cash Flow Forecast'!E20</f>
        <v>955972.4</v>
      </c>
      <c r="F5" s="75" t="n">
        <f aca="false">'Cash Flow Forecast'!F20</f>
        <v>838477.262</v>
      </c>
      <c r="G5" s="75" t="n">
        <f aca="false">'Cash Flow Forecast'!G20</f>
        <v>840994.64831</v>
      </c>
      <c r="H5" s="75" t="n">
        <f aca="false">'Cash Flow Forecast'!H20</f>
        <v>843524.62155155</v>
      </c>
      <c r="I5" s="75" t="n">
        <f aca="false">'Cash Flow Forecast'!I20</f>
        <v>1146067.24465931</v>
      </c>
      <c r="J5" s="75" t="n">
        <f aca="false">'Cash Flow Forecast'!J20</f>
        <v>848622.580882604</v>
      </c>
      <c r="K5" s="75" t="n">
        <f aca="false">'Cash Flow Forecast'!K20</f>
        <v>851190.693787017</v>
      </c>
      <c r="L5" s="75" t="n">
        <f aca="false">'Cash Flow Forecast'!L20</f>
        <v>853771.647255952</v>
      </c>
      <c r="M5" s="75" t="n">
        <f aca="false">'Cash Flow Forecast'!M20</f>
        <v>856365.505492232</v>
      </c>
      <c r="N5" s="75" t="n">
        <f aca="false">'Cash Flow Forecast'!N20</f>
        <v>858972.333019693</v>
      </c>
      <c r="O5" s="20" t="n">
        <f aca="false">'Cash Flow Forecast'!O20</f>
        <v>10893438.9369584</v>
      </c>
    </row>
    <row r="6" customFormat="false" ht="15" hidden="false" customHeight="false" outlineLevel="0" collapsed="false">
      <c r="A6" s="76" t="s">
        <v>128</v>
      </c>
      <c r="B6" s="77" t="n">
        <f aca="false">'Cash Flow Forecast'!B22</f>
        <v>-45000</v>
      </c>
      <c r="C6" s="77" t="n">
        <f aca="false">'Cash Flow Forecast'!C22</f>
        <v>-179800</v>
      </c>
      <c r="D6" s="77" t="n">
        <f aca="false">'Cash Flow Forecast'!D22</f>
        <v>-19274.0000000001</v>
      </c>
      <c r="E6" s="77" t="n">
        <f aca="false">'Cash Flow Forecast'!E22</f>
        <v>-97945.3700000001</v>
      </c>
      <c r="F6" s="77" t="n">
        <f aca="false">'Cash Flow Forecast'!F22</f>
        <v>23589.9031499999</v>
      </c>
      <c r="G6" s="77" t="n">
        <f aca="false">'Cash Flow Forecast'!G22</f>
        <v>25132.8526657498</v>
      </c>
      <c r="H6" s="77" t="n">
        <f aca="false">'Cash Flow Forecast'!H22</f>
        <v>26683.5169290785</v>
      </c>
      <c r="I6" s="77" t="n">
        <f aca="false">'Cash Flow Forecast'!I22</f>
        <v>-271758.065486276</v>
      </c>
      <c r="J6" s="77" t="n">
        <f aca="false">'Cash Flow Forecast'!J22</f>
        <v>29808.1441862925</v>
      </c>
      <c r="K6" s="77" t="n">
        <f aca="false">'Cash Flow Forecast'!K22</f>
        <v>31382.1849072239</v>
      </c>
      <c r="L6" s="77" t="n">
        <f aca="false">'Cash Flow Forecast'!L22</f>
        <v>32964.0958317601</v>
      </c>
      <c r="M6" s="77" t="n">
        <f aca="false">'Cash Flow Forecast'!M22</f>
        <v>34553.9163109189</v>
      </c>
      <c r="N6" s="77" t="n">
        <f aca="false">'Cash Flow Forecast'!N22</f>
        <v>36151.6858924734</v>
      </c>
      <c r="O6" s="20" t="n">
        <f aca="false">'Cash Flow Forecast'!O22</f>
        <v>-373511.135612779</v>
      </c>
    </row>
    <row r="7" customFormat="false" ht="15" hidden="false" customHeight="false" outlineLevel="0" collapsed="false">
      <c r="A7" s="74" t="s">
        <v>129</v>
      </c>
      <c r="B7" s="75" t="n">
        <f aca="false">'Cash Flow Forecast'!B23</f>
        <v>2455000</v>
      </c>
      <c r="C7" s="75" t="n">
        <f aca="false">'Cash Flow Forecast'!C23</f>
        <v>2275200</v>
      </c>
      <c r="D7" s="75" t="n">
        <f aca="false">'Cash Flow Forecast'!D23</f>
        <v>2255926</v>
      </c>
      <c r="E7" s="75" t="n">
        <f aca="false">'Cash Flow Forecast'!E23</f>
        <v>2157980.63</v>
      </c>
      <c r="F7" s="75" t="n">
        <f aca="false">'Cash Flow Forecast'!F23</f>
        <v>2181570.53315</v>
      </c>
      <c r="G7" s="75" t="n">
        <f aca="false">'Cash Flow Forecast'!G23</f>
        <v>2206703.38581575</v>
      </c>
      <c r="H7" s="75" t="n">
        <f aca="false">'Cash Flow Forecast'!H23</f>
        <v>2233386.90274483</v>
      </c>
      <c r="I7" s="75" t="n">
        <f aca="false">'Cash Flow Forecast'!I23</f>
        <v>1961628.83725855</v>
      </c>
      <c r="J7" s="75" t="n">
        <f aca="false">'Cash Flow Forecast'!J23</f>
        <v>1991436.98144484</v>
      </c>
      <c r="K7" s="75" t="n">
        <f aca="false">'Cash Flow Forecast'!K23</f>
        <v>2022819.16635207</v>
      </c>
      <c r="L7" s="75" t="n">
        <f aca="false">'Cash Flow Forecast'!L23</f>
        <v>2055783.26218383</v>
      </c>
      <c r="M7" s="75" t="n">
        <f aca="false">'Cash Flow Forecast'!M23</f>
        <v>2090337.17849475</v>
      </c>
      <c r="N7" s="75" t="n">
        <f aca="false">'Cash Flow Forecast'!N23</f>
        <v>2126488.86438722</v>
      </c>
      <c r="O7" s="20" t="n">
        <f aca="false">'Cash Flow Forecast'!O23</f>
        <v>28014261.7418318</v>
      </c>
    </row>
    <row r="8" customFormat="false" ht="15" hidden="false" customHeight="false" outlineLevel="0" collapsed="false">
      <c r="A8" s="76" t="s">
        <v>130</v>
      </c>
      <c r="B8" s="77" t="n">
        <f aca="false">'Cash Flow Forecast'!B26</f>
        <v>-45000</v>
      </c>
      <c r="C8" s="77" t="n">
        <f aca="false">'Cash Flow Forecast'!C26</f>
        <v>-224800</v>
      </c>
      <c r="D8" s="77" t="n">
        <f aca="false">'Cash Flow Forecast'!D26</f>
        <v>-244074</v>
      </c>
      <c r="E8" s="77" t="n">
        <f aca="false">'Cash Flow Forecast'!E26</f>
        <v>-342019.37</v>
      </c>
      <c r="F8" s="77" t="n">
        <f aca="false">'Cash Flow Forecast'!F26</f>
        <v>-318429.46685</v>
      </c>
      <c r="G8" s="77" t="n">
        <f aca="false">'Cash Flow Forecast'!G26</f>
        <v>-293296.614184251</v>
      </c>
      <c r="H8" s="77" t="n">
        <f aca="false">'Cash Flow Forecast'!H26</f>
        <v>-266613.097255172</v>
      </c>
      <c r="I8" s="77" t="n">
        <f aca="false">'Cash Flow Forecast'!I26</f>
        <v>-538371.162741448</v>
      </c>
      <c r="J8" s="77" t="n">
        <f aca="false">'Cash Flow Forecast'!J26</f>
        <v>-508563.018555155</v>
      </c>
      <c r="K8" s="77" t="n">
        <f aca="false">'Cash Flow Forecast'!K26</f>
        <v>-477180.833647931</v>
      </c>
      <c r="L8" s="77" t="n">
        <f aca="false">'Cash Flow Forecast'!L26</f>
        <v>-444216.737816171</v>
      </c>
      <c r="M8" s="77" t="n">
        <f aca="false">'Cash Flow Forecast'!M26</f>
        <v>-409662.821505253</v>
      </c>
      <c r="N8" s="77" t="n">
        <f aca="false">'Cash Flow Forecast'!N26</f>
        <v>-373511.135612779</v>
      </c>
      <c r="O8" s="20" t="n">
        <f aca="false">'Cash Flow Forecast'!O26</f>
        <v>-373511.135612779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2026-04-30T06:30:47Z</dcterms:created>
  <dc:creator>openpyxl</dc:creator>
  <dc:description/>
  <dc:language>en-US</dc:language>
  <cp:lastModifiedBy/>
  <dcterms:modified xsi:type="dcterms:W3CDTF">2026-04-30T06:36:10Z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