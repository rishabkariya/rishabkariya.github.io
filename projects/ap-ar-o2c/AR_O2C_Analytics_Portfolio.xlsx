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_Transactions" sheetId="1" state="visible" r:id="rId3"/>
    <sheet name="Aging_Analysis" sheetId="2" state="visible" r:id="rId4"/>
    <sheet name="KPI_Dashboard" sheetId="3" state="visible" r:id="rId5"/>
    <sheet name="O2C_Process_Tracker" sheetId="4" state="visible" r:id="rId6"/>
    <sheet name="Methodolog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<sst xmlns="http://schemas.openxmlformats.org/spreadsheetml/2006/main" count="1093" uniqueCount="348">
  <si>
    <t xml:space="preserve">🗂  AR TRANSACTION REGISTER  |  As of 31-Mar-2025  |  (Synthetic Training Data)</t>
  </si>
  <si>
    <t xml:space="preserve">Invoice No</t>
  </si>
  <si>
    <t xml:space="preserve">Customer</t>
  </si>
  <si>
    <t xml:space="preserve">City</t>
  </si>
  <si>
    <t xml:space="preserve">Segment</t>
  </si>
  <si>
    <t xml:space="preserve">Invoice Date</t>
  </si>
  <si>
    <t xml:space="preserve">Due Date</t>
  </si>
  <si>
    <t xml:space="preserve">Invoice Amt (₹)</t>
  </si>
  <si>
    <t xml:space="preserve">Amount Collected (₹)</t>
  </si>
  <si>
    <t xml:space="preserve">Outstanding (₹)</t>
  </si>
  <si>
    <t xml:space="preserve">Collection Date</t>
  </si>
  <si>
    <t xml:space="preserve">Status</t>
  </si>
  <si>
    <t xml:space="preserve">Aging Bucket</t>
  </si>
  <si>
    <t xml:space="preserve">Overdue Days</t>
  </si>
  <si>
    <t xml:space="preserve">Credit Terms (Days)</t>
  </si>
  <si>
    <t xml:space="preserve">INV-1001</t>
  </si>
  <si>
    <t xml:space="preserve">Polycab India</t>
  </si>
  <si>
    <t xml:space="preserve">Daman</t>
  </si>
  <si>
    <t xml:space="preserve">SME</t>
  </si>
  <si>
    <t xml:space="preserve">Partially Collected</t>
  </si>
  <si>
    <t xml:space="preserve">90+ Days</t>
  </si>
  <si>
    <t xml:space="preserve">INV-1002</t>
  </si>
  <si>
    <t xml:space="preserve">Orient Electric</t>
  </si>
  <si>
    <t xml:space="preserve">Kolkata</t>
  </si>
  <si>
    <t xml:space="preserve">Overdue</t>
  </si>
  <si>
    <t xml:space="preserve">INV-1003</t>
  </si>
  <si>
    <t xml:space="preserve">KEI Industries</t>
  </si>
  <si>
    <t xml:space="preserve">Delhi</t>
  </si>
  <si>
    <t xml:space="preserve">Open</t>
  </si>
  <si>
    <t xml:space="preserve">0-30 Days</t>
  </si>
  <si>
    <t xml:space="preserve">INV-1004</t>
  </si>
  <si>
    <t xml:space="preserve">Adani Ports</t>
  </si>
  <si>
    <t xml:space="preserve">Ahmedabad</t>
  </si>
  <si>
    <t xml:space="preserve">Large</t>
  </si>
  <si>
    <t xml:space="preserve">61-90 Days</t>
  </si>
  <si>
    <t xml:space="preserve">INV-1005</t>
  </si>
  <si>
    <t xml:space="preserve">Finolex Cables</t>
  </si>
  <si>
    <t xml:space="preserve">Pune</t>
  </si>
  <si>
    <t xml:space="preserve">INV-1006</t>
  </si>
  <si>
    <t xml:space="preserve">Blue Star Ltd</t>
  </si>
  <si>
    <t xml:space="preserve">Bangalore</t>
  </si>
  <si>
    <t xml:space="preserve">Medium</t>
  </si>
  <si>
    <t xml:space="preserve">INV-1007</t>
  </si>
  <si>
    <t xml:space="preserve">Hind Rectifiers</t>
  </si>
  <si>
    <t xml:space="preserve">Mumbai</t>
  </si>
  <si>
    <t xml:space="preserve">INV-1008</t>
  </si>
  <si>
    <t xml:space="preserve">Havells India</t>
  </si>
  <si>
    <t xml:space="preserve">INV-1009</t>
  </si>
  <si>
    <t xml:space="preserve">INV-1010</t>
  </si>
  <si>
    <t xml:space="preserve">Voltas Ltd</t>
  </si>
  <si>
    <t xml:space="preserve">Disputed</t>
  </si>
  <si>
    <t xml:space="preserve">INV-1011</t>
  </si>
  <si>
    <t xml:space="preserve">INV-1012</t>
  </si>
  <si>
    <t xml:space="preserve">INV-1013</t>
  </si>
  <si>
    <t xml:space="preserve">Indo Asian Fuses</t>
  </si>
  <si>
    <t xml:space="preserve">Vadodara</t>
  </si>
  <si>
    <t xml:space="preserve">INV-1014</t>
  </si>
  <si>
    <t xml:space="preserve">Surya Roshni</t>
  </si>
  <si>
    <t xml:space="preserve">Noida</t>
  </si>
  <si>
    <t xml:space="preserve">INV-1015</t>
  </si>
  <si>
    <t xml:space="preserve">Reliance Industries</t>
  </si>
  <si>
    <t xml:space="preserve">INV-1016</t>
  </si>
  <si>
    <t xml:space="preserve">INV-1017</t>
  </si>
  <si>
    <t xml:space="preserve">INV-1018</t>
  </si>
  <si>
    <t xml:space="preserve">L&amp;T Finance</t>
  </si>
  <si>
    <t xml:space="preserve">Chennai</t>
  </si>
  <si>
    <t xml:space="preserve">INV-1019</t>
  </si>
  <si>
    <t xml:space="preserve">INV-1020</t>
  </si>
  <si>
    <t xml:space="preserve">Collected</t>
  </si>
  <si>
    <t xml:space="preserve">INV-1021</t>
  </si>
  <si>
    <t xml:space="preserve">INV-1022</t>
  </si>
  <si>
    <t xml:space="preserve">INV-1023</t>
  </si>
  <si>
    <t xml:space="preserve">INV-1024</t>
  </si>
  <si>
    <t xml:space="preserve">INV-1025</t>
  </si>
  <si>
    <t xml:space="preserve">INV-1026</t>
  </si>
  <si>
    <t xml:space="preserve">Tata Chemicals</t>
  </si>
  <si>
    <t xml:space="preserve">31-60 Days</t>
  </si>
  <si>
    <t xml:space="preserve">INV-1027</t>
  </si>
  <si>
    <t xml:space="preserve">INV-1028</t>
  </si>
  <si>
    <t xml:space="preserve">INV-1029</t>
  </si>
  <si>
    <t xml:space="preserve">INV-1030</t>
  </si>
  <si>
    <t xml:space="preserve">INV-1031</t>
  </si>
  <si>
    <t xml:space="preserve">INV-1032</t>
  </si>
  <si>
    <t xml:space="preserve">INV-1033</t>
  </si>
  <si>
    <t xml:space="preserve">INV-1034</t>
  </si>
  <si>
    <t xml:space="preserve">INV-1035</t>
  </si>
  <si>
    <t xml:space="preserve">INV-1036</t>
  </si>
  <si>
    <t xml:space="preserve">INV-1037</t>
  </si>
  <si>
    <t xml:space="preserve">INV-1038</t>
  </si>
  <si>
    <t xml:space="preserve">INV-1039</t>
  </si>
  <si>
    <t xml:space="preserve">INV-1040</t>
  </si>
  <si>
    <t xml:space="preserve">INV-1041</t>
  </si>
  <si>
    <t xml:space="preserve">INV-1042</t>
  </si>
  <si>
    <t xml:space="preserve">INV-1043</t>
  </si>
  <si>
    <t xml:space="preserve">INV-1044</t>
  </si>
  <si>
    <t xml:space="preserve">INV-1045</t>
  </si>
  <si>
    <t xml:space="preserve">INV-1046</t>
  </si>
  <si>
    <t xml:space="preserve">Bajaj Electricals</t>
  </si>
  <si>
    <t xml:space="preserve">INV-1047</t>
  </si>
  <si>
    <t xml:space="preserve">INV-1048</t>
  </si>
  <si>
    <t xml:space="preserve">INV-1049</t>
  </si>
  <si>
    <t xml:space="preserve">INV-1050</t>
  </si>
  <si>
    <t xml:space="preserve">INV-1051</t>
  </si>
  <si>
    <t xml:space="preserve">INV-1052</t>
  </si>
  <si>
    <t xml:space="preserve">INV-1053</t>
  </si>
  <si>
    <t xml:space="preserve">INV-1054</t>
  </si>
  <si>
    <t xml:space="preserve">INV-1055</t>
  </si>
  <si>
    <t xml:space="preserve">INV-1056</t>
  </si>
  <si>
    <t xml:space="preserve">INV-1057</t>
  </si>
  <si>
    <t xml:space="preserve">INV-1058</t>
  </si>
  <si>
    <t xml:space="preserve">INV-1059</t>
  </si>
  <si>
    <t xml:space="preserve">INV-1060</t>
  </si>
  <si>
    <t xml:space="preserve">INV-1061</t>
  </si>
  <si>
    <t xml:space="preserve">INV-1062</t>
  </si>
  <si>
    <t xml:space="preserve">INV-1063</t>
  </si>
  <si>
    <t xml:space="preserve">INV-1064</t>
  </si>
  <si>
    <t xml:space="preserve">INV-1065</t>
  </si>
  <si>
    <t xml:space="preserve">INV-1066</t>
  </si>
  <si>
    <t xml:space="preserve">INV-1067</t>
  </si>
  <si>
    <t xml:space="preserve">INV-1068</t>
  </si>
  <si>
    <t xml:space="preserve">INV-1069</t>
  </si>
  <si>
    <t xml:space="preserve">INV-1070</t>
  </si>
  <si>
    <t xml:space="preserve">INV-1071</t>
  </si>
  <si>
    <t xml:space="preserve">INV-1072</t>
  </si>
  <si>
    <t xml:space="preserve">INV-1073</t>
  </si>
  <si>
    <t xml:space="preserve">INV-1074</t>
  </si>
  <si>
    <t xml:space="preserve">INV-1075</t>
  </si>
  <si>
    <t xml:space="preserve">INV-1076</t>
  </si>
  <si>
    <t xml:space="preserve">INV-1077</t>
  </si>
  <si>
    <t xml:space="preserve">INV-1078</t>
  </si>
  <si>
    <t xml:space="preserve">INV-1079</t>
  </si>
  <si>
    <t xml:space="preserve">INV-1080</t>
  </si>
  <si>
    <t xml:space="preserve">INV-1081</t>
  </si>
  <si>
    <t xml:space="preserve">INV-1082</t>
  </si>
  <si>
    <t xml:space="preserve">INV-1083</t>
  </si>
  <si>
    <t xml:space="preserve">INV-1084</t>
  </si>
  <si>
    <t xml:space="preserve">INV-1085</t>
  </si>
  <si>
    <t xml:space="preserve">INV-1086</t>
  </si>
  <si>
    <t xml:space="preserve">INV-1087</t>
  </si>
  <si>
    <t xml:space="preserve">INV-1088</t>
  </si>
  <si>
    <t xml:space="preserve">INV-1089</t>
  </si>
  <si>
    <t xml:space="preserve">INV-1090</t>
  </si>
  <si>
    <t xml:space="preserve">INV-1091</t>
  </si>
  <si>
    <t xml:space="preserve">INV-1092</t>
  </si>
  <si>
    <t xml:space="preserve">INV-1093</t>
  </si>
  <si>
    <t xml:space="preserve">INV-1094</t>
  </si>
  <si>
    <t xml:space="preserve">INV-1095</t>
  </si>
  <si>
    <t xml:space="preserve">INV-1096</t>
  </si>
  <si>
    <t xml:space="preserve">INV-1097</t>
  </si>
  <si>
    <t xml:space="preserve">INV-1098</t>
  </si>
  <si>
    <t xml:space="preserve">INV-1099</t>
  </si>
  <si>
    <t xml:space="preserve">INV-1100</t>
  </si>
  <si>
    <t xml:space="preserve">INV-1101</t>
  </si>
  <si>
    <t xml:space="preserve">INV-1102</t>
  </si>
  <si>
    <t xml:space="preserve">INV-1103</t>
  </si>
  <si>
    <t xml:space="preserve">INV-1104</t>
  </si>
  <si>
    <t xml:space="preserve">INV-1105</t>
  </si>
  <si>
    <t xml:space="preserve">INV-1106</t>
  </si>
  <si>
    <t xml:space="preserve">INV-1107</t>
  </si>
  <si>
    <t xml:space="preserve">INV-1108</t>
  </si>
  <si>
    <t xml:space="preserve">INV-1109</t>
  </si>
  <si>
    <t xml:space="preserve">INV-1110</t>
  </si>
  <si>
    <t xml:space="preserve">📊  AR AGING ANALYSIS  |  Outstanding by Customer &amp; Bucket</t>
  </si>
  <si>
    <t xml:space="preserve">0-30 Days (₹)</t>
  </si>
  <si>
    <t xml:space="preserve">31-60 Days (₹)</t>
  </si>
  <si>
    <t xml:space="preserve">61-90 Days (₹)</t>
  </si>
  <si>
    <t xml:space="preserve">90+ Days (₹)</t>
  </si>
  <si>
    <t xml:space="preserve">Total Outstanding (₹)</t>
  </si>
  <si>
    <t xml:space="preserve">% of Total</t>
  </si>
  <si>
    <t xml:space="preserve">GRAND TOTAL</t>
  </si>
  <si>
    <t xml:space="preserve">SEGMENT-WISE AGING SUMMARY</t>
  </si>
  <si>
    <t xml:space="preserve">Total</t>
  </si>
  <si>
    <t xml:space="preserve">% of Grand Total</t>
  </si>
  <si>
    <t xml:space="preserve">📈  AR / O2C KPI DASHBOARD  |  Period: FY2024-25  |  Reporting Date: 31-Mar-2025</t>
  </si>
  <si>
    <t xml:space="preserve">TOTAL INVOICED (₹)</t>
  </si>
  <si>
    <t xml:space="preserve">AMOUNT COLLECTED (₹)</t>
  </si>
  <si>
    <t xml:space="preserve">OUTSTANDING (₹)</t>
  </si>
  <si>
    <t xml:space="preserve">OVERDUE (₹)</t>
  </si>
  <si>
    <t xml:space="preserve">DISPUTED (₹)</t>
  </si>
  <si>
    <t xml:space="preserve">FY2024-25 Total Billings</t>
  </si>
  <si>
    <t xml:space="preserve">Collection Rate: 13.5%</t>
  </si>
  <si>
    <t xml:space="preserve">Gross Open AR Balance</t>
  </si>
  <si>
    <t xml:space="preserve">47.9% of OS Balance</t>
  </si>
  <si>
    <t xml:space="preserve">Requires Resolution</t>
  </si>
  <si>
    <t xml:space="preserve">AVG DSO (Days)</t>
  </si>
  <si>
    <t xml:space="preserve">COLLECTION EFF. INDEX</t>
  </si>
  <si>
    <t xml:space="preserve">0-30 DAY BUCKET (₹)</t>
  </si>
  <si>
    <t xml:space="preserve">31-60 DAY BUCKET (₹)</t>
  </si>
  <si>
    <t xml:space="preserve">90+ DAY BUCKET (₹)</t>
  </si>
  <si>
    <t xml:space="preserve">Days Sales Outstanding</t>
  </si>
  <si>
    <t xml:space="preserve">CEI Target: &gt;85%</t>
  </si>
  <si>
    <t xml:space="preserve">Current Bucket</t>
  </si>
  <si>
    <t xml:space="preserve">Watch List</t>
  </si>
  <si>
    <t xml:space="preserve">Critical — Escalate</t>
  </si>
  <si>
    <t xml:space="preserve">AGING BUCKET BREAKDOWN  |  Outstanding by Days Overdue</t>
  </si>
  <si>
    <t xml:space="preserve">Status Signal</t>
  </si>
  <si>
    <t xml:space="preserve">✅ Current</t>
  </si>
  <si>
    <t xml:space="preserve">⚠️ Watch</t>
  </si>
  <si>
    <t xml:space="preserve">🔶 Alert</t>
  </si>
  <si>
    <t xml:space="preserve">🔴 Critical</t>
  </si>
  <si>
    <t xml:space="preserve">DSO TREND  |  Monthly Days Sales Outstanding (FY2024-25)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</si>
  <si>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</si>
  <si>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</si>
  <si>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</si>
  <si>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</si>
  <si>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</si>
  <si>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</si>
  <si>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</si>
  <si>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</si>
  <si>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</si>
  <si>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</si>
  <si>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</si>
  <si>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</si>
  <si>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🔄  ORDER-TO-CASH (O2C) PROCESS TRACKER  |  End-to-End Cycle Analytics</t>
  </si>
  <si>
    <t xml:space="preserve">Order No</t>
  </si>
  <si>
    <t xml:space="preserve">Order Date</t>
  </si>
  <si>
    <t xml:space="preserve">Credit OK</t>
  </si>
  <si>
    <t xml:space="preserve">Order Conf.</t>
  </si>
  <si>
    <t xml:space="preserve">Dispatch</t>
  </si>
  <si>
    <t xml:space="preserve">Invoice Sent</t>
  </si>
  <si>
    <t xml:space="preserve">Cycle Days</t>
  </si>
  <si>
    <t xml:space="preserve">ORD-5001</t>
  </si>
  <si>
    <t xml:space="preserve">ORD-5002</t>
  </si>
  <si>
    <t xml:space="preserve">In Progress</t>
  </si>
  <si>
    <t xml:space="preserve">ORD-5003</t>
  </si>
  <si>
    <t xml:space="preserve">ORD-5004</t>
  </si>
  <si>
    <t xml:space="preserve">ORD-5005</t>
  </si>
  <si>
    <t xml:space="preserve">ORD-5006</t>
  </si>
  <si>
    <t xml:space="preserve">ORD-5007</t>
  </si>
  <si>
    <t xml:space="preserve">ORD-5008</t>
  </si>
  <si>
    <t xml:space="preserve">ORD-5009</t>
  </si>
  <si>
    <t xml:space="preserve">ORD-5010</t>
  </si>
  <si>
    <t xml:space="preserve">ORD-5011</t>
  </si>
  <si>
    <t xml:space="preserve">ORD-5012</t>
  </si>
  <si>
    <t xml:space="preserve">ORD-5013</t>
  </si>
  <si>
    <t xml:space="preserve">ORD-5014</t>
  </si>
  <si>
    <t xml:space="preserve">ORD-5015</t>
  </si>
  <si>
    <t xml:space="preserve">ORD-5016</t>
  </si>
  <si>
    <t xml:space="preserve">ORD-5017</t>
  </si>
  <si>
    <t xml:space="preserve">ORD-5018</t>
  </si>
  <si>
    <t xml:space="preserve">ORD-5019</t>
  </si>
  <si>
    <t xml:space="preserve">ORD-5020</t>
  </si>
  <si>
    <t xml:space="preserve">ORD-5021</t>
  </si>
  <si>
    <t xml:space="preserve">ORD-5022</t>
  </si>
  <si>
    <t xml:space="preserve">ORD-5023</t>
  </si>
  <si>
    <t xml:space="preserve">ORD-5024</t>
  </si>
  <si>
    <t xml:space="preserve">ORD-5025</t>
  </si>
  <si>
    <t xml:space="preserve">ORD-5026</t>
  </si>
  <si>
    <t xml:space="preserve">ORD-5027</t>
  </si>
  <si>
    <t xml:space="preserve">ORD-5028</t>
  </si>
  <si>
    <t xml:space="preserve">ORD-5029</t>
  </si>
  <si>
    <t xml:space="preserve">ORD-5030</t>
  </si>
  <si>
    <t xml:space="preserve">ORD-5031</t>
  </si>
  <si>
    <t xml:space="preserve">ORD-5032</t>
  </si>
  <si>
    <t xml:space="preserve">ORD-5033</t>
  </si>
  <si>
    <t xml:space="preserve">ORD-5034</t>
  </si>
  <si>
    <t xml:space="preserve">ORD-5035</t>
  </si>
  <si>
    <t xml:space="preserve">ORD-5036</t>
  </si>
  <si>
    <t xml:space="preserve">ORD-5037</t>
  </si>
  <si>
    <t xml:space="preserve">ORD-5038</t>
  </si>
  <si>
    <t xml:space="preserve">ORD-5039</t>
  </si>
  <si>
    <t xml:space="preserve">ORD-5040</t>
  </si>
  <si>
    <t xml:space="preserve">ORD-5041</t>
  </si>
  <si>
    <t xml:space="preserve">ORD-5042</t>
  </si>
  <si>
    <t xml:space="preserve">ORD-5043</t>
  </si>
  <si>
    <t xml:space="preserve">ORD-5044</t>
  </si>
  <si>
    <t xml:space="preserve">ORD-5045</t>
  </si>
  <si>
    <t xml:space="preserve">ORD-5046</t>
  </si>
  <si>
    <t xml:space="preserve">ORD-5047</t>
  </si>
  <si>
    <t xml:space="preserve">ORD-5048</t>
  </si>
  <si>
    <t xml:space="preserve">ORD-5049</t>
  </si>
  <si>
    <t xml:space="preserve">ORD-5050</t>
  </si>
  <si>
    <t xml:space="preserve">ORD-5051</t>
  </si>
  <si>
    <t xml:space="preserve">ORD-5052</t>
  </si>
  <si>
    <t xml:space="preserve">ORD-5053</t>
  </si>
  <si>
    <t xml:space="preserve">ORD-5054</t>
  </si>
  <si>
    <t xml:space="preserve">ORD-5055</t>
  </si>
  <si>
    <t xml:space="preserve">ORD-5056</t>
  </si>
  <si>
    <t xml:space="preserve">ORD-5057</t>
  </si>
  <si>
    <t xml:space="preserve">ORD-5058</t>
  </si>
  <si>
    <t xml:space="preserve">ORD-5059</t>
  </si>
  <si>
    <t xml:space="preserve">ORD-5060</t>
  </si>
  <si>
    <t xml:space="preserve">📋  METHODOLOGY &amp; FORMULA REFERENCE  |  O2C / AR Analytics</t>
  </si>
  <si>
    <t xml:space="preserve">KPI / Metric</t>
  </si>
  <si>
    <t xml:space="preserve">Formula</t>
  </si>
  <si>
    <t xml:space="preserve">Interpretation</t>
  </si>
  <si>
    <t xml:space="preserve">Benchmark</t>
  </si>
  <si>
    <t xml:space="preserve">Days Sales Outstanding (DSO)</t>
  </si>
  <si>
    <t xml:space="preserve">≡(ar outstanding / total revenue) × 365</t>
  </si>
  <si>
    <t xml:space="preserve">Lower = faster collection</t>
  </si>
  <si>
    <t xml:space="preserve">Industry: 30-60 days</t>
  </si>
  <si>
    <t xml:space="preserve">Collection Effectiveness Index</t>
  </si>
  <si>
    <t xml:space="preserve">≡collections / (beg ar + sales − End AR))</t>
  </si>
  <si>
    <t xml:space="preserve">Closer to 100% = better</t>
  </si>
  <si>
    <t xml:space="preserve">Target: &gt; 85%</t>
  </si>
  <si>
    <t xml:space="preserve">Aging Bucket %</t>
  </si>
  <si>
    <t xml:space="preserve">≡bucket outstanding / total outstanding</t>
  </si>
  <si>
    <t xml:space="preserve">Monitors quality of AR</t>
  </si>
  <si>
    <t xml:space="preserve">90+ &gt; 20% = concern</t>
  </si>
  <si>
    <t xml:space="preserve">Bad Debt Ratio</t>
  </si>
  <si>
    <t xml:space="preserve">≡bad debt write-offs / total revenue</t>
  </si>
  <si>
    <t xml:space="preserve">Tracks credit risk impact</t>
  </si>
  <si>
    <t xml:space="preserve">&lt; 1% ideal</t>
  </si>
  <si>
    <t xml:space="preserve">Overdue Rate</t>
  </si>
  <si>
    <t xml:space="preserve">≡overdue invoices / total open invoices</t>
  </si>
  <si>
    <t xml:space="preserve">Portfolio health signal</t>
  </si>
  <si>
    <t xml:space="preserve">&lt; 15% is healthy</t>
  </si>
  <si>
    <t xml:space="preserve">Invoice Dispute Rate</t>
  </si>
  <si>
    <t xml:space="preserve">≡disputed ₹ / Total Invoiced ₹</t>
  </si>
  <si>
    <t xml:space="preserve">Process quality indicator</t>
  </si>
  <si>
    <t xml:space="preserve">&lt; 3% target</t>
  </si>
  <si>
    <t xml:space="preserve">O2C Cycle Time</t>
  </si>
  <si>
    <t xml:space="preserve">≡payment date − Order Date (days)</t>
  </si>
  <si>
    <t xml:space="preserve">End-to-end process speed</t>
  </si>
  <si>
    <t xml:space="preserve">Varies by industry</t>
  </si>
  <si>
    <t xml:space="preserve">Order-to-Invoice Days</t>
  </si>
  <si>
    <t xml:space="preserve">≡invoice date − Order Date</t>
  </si>
  <si>
    <t xml:space="preserve">Operational efficiency</t>
  </si>
  <si>
    <t xml:space="preserve">&lt; 5 days ideal</t>
  </si>
  <si>
    <t xml:space="preserve">Credit Approval TAT</t>
  </si>
  <si>
    <t xml:space="preserve">≡credit ok date − Order Date</t>
  </si>
  <si>
    <t xml:space="preserve">Credit risk process speed</t>
  </si>
  <si>
    <t xml:space="preserve">&lt; 2 days ideal</t>
  </si>
  <si>
    <t xml:space="preserve">O2C PROCESS FLOW  |  8 Key Stages</t>
  </si>
  <si>
    <t xml:space="preserve">1. Order Management</t>
  </si>
  <si>
    <t xml:space="preserve">Customer PO received, order entered in ERP (SAP SD)</t>
  </si>
  <si>
    <t xml:space="preserve">SAP SD Module</t>
  </si>
  <si>
    <t xml:space="preserve">2. Credit Check</t>
  </si>
  <si>
    <t xml:space="preserve">Creditworthiness verified against credit limit</t>
  </si>
  <si>
    <t xml:space="preserve">SAP FSCM / FI-AR</t>
  </si>
  <si>
    <t xml:space="preserve">3. Order Fulfillment</t>
  </si>
  <si>
    <t xml:space="preserve">Goods picked, packed, dispatch created</t>
  </si>
  <si>
    <t xml:space="preserve">SAP MM / WM</t>
  </si>
  <si>
    <t xml:space="preserve">4. Invoice Generation</t>
  </si>
  <si>
    <t xml:space="preserve">Tax invoice raised with GST, posted to AR</t>
  </si>
  <si>
    <t xml:space="preserve">SAP FI / Billing</t>
  </si>
  <si>
    <t xml:space="preserve">5. Invoice Delivery</t>
  </si>
  <si>
    <t xml:space="preserve">Invoice sent to customer (email / portal)</t>
  </si>
  <si>
    <t xml:space="preserve">SAP Output Mgmt</t>
  </si>
  <si>
    <t xml:space="preserve">6. Collections</t>
  </si>
  <si>
    <t xml:space="preserve">Follow-up, dunning letters, payment tracking</t>
  </si>
  <si>
    <t xml:space="preserve">SAP FSCM Collect.</t>
  </si>
  <si>
    <t xml:space="preserve">7. Cash Application</t>
  </si>
  <si>
    <t xml:space="preserve">Payment matched to invoice, clearing done</t>
  </si>
  <si>
    <t xml:space="preserve">SAP FI Cash Appl.</t>
  </si>
  <si>
    <t xml:space="preserve">8. Reconciliation</t>
  </si>
  <si>
    <t xml:space="preserve">AR ledger reconciled, disputes resolved</t>
  </si>
  <si>
    <t xml:space="preserve">SAP FI-AR Recon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</si>
</sst>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"/>
    <numFmt numFmtId="166" formatCode="#,##0.00;\(#,##0.00\);\-"/>
    <numFmt numFmtId="167" formatCode="#,##0;\(#,##0\);\-"/>
    <numFmt numFmtId="168" formatCode="0.0%"/>
    <numFmt numFmtId="169" formatCode="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16"/>
      <color rgb="FF1B2A4A"/>
      <name val="Calibri"/>
      <family val="0"/>
      <charset val="1"/>
    </font>
    <font>
      <b val="true"/>
      <sz val="16"/>
      <color rgb="FF27AE60"/>
      <name val="Calibri"/>
      <family val="0"/>
      <charset val="1"/>
    </font>
    <font>
      <b val="true"/>
      <sz val="16"/>
      <color rgb="FFE67E22"/>
      <name val="Calibri"/>
      <family val="0"/>
      <charset val="1"/>
    </font>
    <font>
      <b val="true"/>
      <sz val="16"/>
      <color rgb="FFE74C3C"/>
      <name val="Calibri"/>
      <family val="0"/>
      <charset val="1"/>
    </font>
    <font>
      <b val="true"/>
      <sz val="16"/>
      <color rgb="FF8E44AD"/>
      <name val="Calibri"/>
      <family val="0"/>
      <charset val="1"/>
    </font>
    <font>
      <i val="true"/>
      <sz val="8"/>
      <color rgb="FF2C3E50"/>
      <name val="Calibri"/>
      <family val="0"/>
      <charset val="1"/>
    </font>
    <font>
      <b val="true"/>
      <sz val="16"/>
      <color rgb="FF17A589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rgb="FF922B21"/>
      <name val="Calibri"/>
      <family val="0"/>
      <charset val="1"/>
    </font>
    <font>
      <b val="true"/>
      <sz val="11"/>
      <color rgb="FFB7770D"/>
      <name val="Calibri"/>
      <family val="0"/>
      <charset val="1"/>
    </font>
    <font>
      <b val="true"/>
      <sz val="11"/>
      <color rgb="FF1E8449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2A4A"/>
        <bgColor rgb="FF2C3E50"/>
      </patternFill>
    </fill>
    <fill>
      <patternFill patternType="solid">
        <fgColor rgb="FF17A589"/>
        <bgColor rgb="FF27AE60"/>
      </patternFill>
    </fill>
    <fill>
      <patternFill patternType="solid">
        <fgColor rgb="FFFFFFFF"/>
        <bgColor rgb="FFFEF9E7"/>
      </patternFill>
    </fill>
    <fill>
      <patternFill patternType="solid">
        <fgColor rgb="FFE67E22"/>
        <bgColor rgb="FFB7770D"/>
      </patternFill>
    </fill>
    <fill>
      <patternFill patternType="solid">
        <fgColor rgb="FFFADBD8"/>
        <bgColor rgb="FFFDEBD0"/>
      </patternFill>
    </fill>
    <fill>
      <patternFill patternType="solid">
        <fgColor rgb="FFF2F3F4"/>
        <bgColor rgb="FFFEF9E7"/>
      </patternFill>
    </fill>
    <fill>
      <patternFill patternType="solid">
        <fgColor rgb="FFE74C3C"/>
        <bgColor rgb="FFE67E22"/>
      </patternFill>
    </fill>
    <fill>
      <patternFill patternType="solid">
        <fgColor rgb="FF2980B9"/>
        <bgColor rgb="FF0066CC"/>
      </patternFill>
    </fill>
    <fill>
      <patternFill patternType="solid">
        <fgColor rgb="FFD5F5E3"/>
        <bgColor rgb="FFCCFFFF"/>
      </patternFill>
    </fill>
    <fill>
      <patternFill patternType="solid">
        <fgColor rgb="FFFDEBD0"/>
        <bgColor rgb="FFFADBD8"/>
      </patternFill>
    </fill>
    <fill>
      <patternFill patternType="solid">
        <fgColor rgb="FF8E44AD"/>
        <bgColor rgb="FF993366"/>
      </patternFill>
    </fill>
    <fill>
      <patternFill patternType="solid">
        <fgColor rgb="FF27AE60"/>
        <bgColor rgb="FF17A589"/>
      </patternFill>
    </fill>
    <fill>
      <patternFill patternType="solid">
        <fgColor rgb="FFFEF9E7"/>
        <bgColor rgb="FFF2F3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70D"/>
      <rgbColor rgb="FF800080"/>
      <rgbColor rgb="FF1E8449"/>
      <rgbColor rgb="FFBDC3C7"/>
      <rgbColor rgb="FF808080"/>
      <rgbColor rgb="FF9999FF"/>
      <rgbColor rgb="FF8E44AD"/>
      <rgbColor rgb="FFFEF9E7"/>
      <rgbColor rgb="FFF2F3F4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CCFFFF"/>
      <rgbColor rgb="FFD5F5E3"/>
      <rgbColor rgb="FFFDEBD0"/>
      <rgbColor rgb="FF99CCFF"/>
      <rgbColor rgb="FFFF99CC"/>
      <rgbColor rgb="FFCC99FF"/>
      <rgbColor rgb="FFFADBD8"/>
      <rgbColor rgb="FF3366FF"/>
      <rgbColor rgb="FF17A589"/>
      <rgbColor rgb="FF99CC00"/>
      <rgbColor rgb="FFFFCC00"/>
      <rgbColor rgb="FFFF9900"/>
      <rgbColor rgb="FFE67E22"/>
      <rgbColor rgb="FF666699"/>
      <rgbColor rgb="FF969696"/>
      <rgbColor rgb="FF1B2A4A"/>
      <rgbColor rgb="FF27AE60"/>
      <rgbColor rgb="FF003300"/>
      <rgbColor rgb="FF333300"/>
      <rgbColor rgb="FF922B21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N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6" min="5" style="1" width="14"/>
    <col collapsed="false" customWidth="true" hidden="false" outlineLevel="0" max="7" min="7" style="1" width="18"/>
    <col collapsed="false" customWidth="true" hidden="false" outlineLevel="0" max="8" min="8" style="1" width="20"/>
    <col collapsed="false" customWidth="true" hidden="false" outlineLevel="0" max="9" min="9" style="1" width="17"/>
    <col collapsed="false" customWidth="true" hidden="false" outlineLevel="0" max="10" min="10" style="1" width="16"/>
    <col collapsed="false" customWidth="true" hidden="false" outlineLevel="0" max="11" min="11" style="1" width="18"/>
    <col collapsed="false" customWidth="true" hidden="false" outlineLevel="0" max="13" min="12" style="1" width="14"/>
    <col collapsed="false" customWidth="true" hidden="false" outlineLevel="0" max="14" min="14" style="1" width="18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0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customFormat="false" ht="15" hidden="false" customHeight="true" outlineLevel="0" collapsed="false">
      <c r="A3" s="4" t="s">
        <v>15</v>
      </c>
      <c r="B3" s="4" t="s">
        <v>16</v>
      </c>
      <c r="C3" s="4" t="s">
        <v>17</v>
      </c>
      <c r="D3" s="4" t="s">
        <v>18</v>
      </c>
      <c r="E3" s="5" t="n">
        <v>45653</v>
      </c>
      <c r="F3" s="5" t="n">
        <v>45713</v>
      </c>
      <c r="G3" s="6" t="n">
        <v>20019.8</v>
      </c>
      <c r="H3" s="6" t="n">
        <v>7967.01</v>
      </c>
      <c r="I3" s="6" t="n">
        <v>12052.79</v>
      </c>
      <c r="J3" s="5" t="n">
        <v>45711</v>
      </c>
      <c r="K3" s="7" t="s">
        <v>19</v>
      </c>
      <c r="L3" s="8" t="s">
        <v>20</v>
      </c>
      <c r="M3" s="9" t="n">
        <v>34</v>
      </c>
      <c r="N3" s="9" t="n">
        <v>60</v>
      </c>
    </row>
    <row r="4" customFormat="false" ht="15" hidden="false" customHeight="true" outlineLevel="0" collapsed="false">
      <c r="A4" s="10" t="s">
        <v>21</v>
      </c>
      <c r="B4" s="10" t="s">
        <v>22</v>
      </c>
      <c r="C4" s="10" t="s">
        <v>23</v>
      </c>
      <c r="D4" s="10" t="s">
        <v>18</v>
      </c>
      <c r="E4" s="11" t="n">
        <v>45653</v>
      </c>
      <c r="F4" s="11" t="n">
        <v>45713</v>
      </c>
      <c r="G4" s="12" t="n">
        <v>19224.57</v>
      </c>
      <c r="H4" s="12" t="n">
        <v>0</v>
      </c>
      <c r="I4" s="12" t="n">
        <v>19224.57</v>
      </c>
      <c r="J4" s="11"/>
      <c r="K4" s="13" t="s">
        <v>24</v>
      </c>
      <c r="L4" s="8" t="s">
        <v>20</v>
      </c>
      <c r="M4" s="14" t="n">
        <v>34</v>
      </c>
      <c r="N4" s="14" t="n">
        <v>60</v>
      </c>
    </row>
    <row r="5" customFormat="false" ht="15" hidden="false" customHeight="true" outlineLevel="0" collapsed="false">
      <c r="A5" s="4" t="s">
        <v>25</v>
      </c>
      <c r="B5" s="4" t="s">
        <v>26</v>
      </c>
      <c r="C5" s="4" t="s">
        <v>27</v>
      </c>
      <c r="D5" s="4" t="s">
        <v>18</v>
      </c>
      <c r="E5" s="5" t="n">
        <v>45744</v>
      </c>
      <c r="F5" s="5" t="n">
        <v>45804</v>
      </c>
      <c r="G5" s="6" t="n">
        <v>47972.96</v>
      </c>
      <c r="H5" s="6" t="n">
        <v>0</v>
      </c>
      <c r="I5" s="6" t="n">
        <v>47972.96</v>
      </c>
      <c r="J5" s="5"/>
      <c r="K5" s="15" t="s">
        <v>28</v>
      </c>
      <c r="L5" s="16" t="s">
        <v>29</v>
      </c>
      <c r="M5" s="9" t="n">
        <v>0</v>
      </c>
      <c r="N5" s="9" t="n">
        <v>60</v>
      </c>
    </row>
    <row r="6" customFormat="false" ht="15" hidden="false" customHeight="true" outlineLevel="0" collapsed="false">
      <c r="A6" s="10" t="s">
        <v>30</v>
      </c>
      <c r="B6" s="10" t="s">
        <v>31</v>
      </c>
      <c r="C6" s="10" t="s">
        <v>32</v>
      </c>
      <c r="D6" s="10" t="s">
        <v>33</v>
      </c>
      <c r="E6" s="11" t="n">
        <v>45683</v>
      </c>
      <c r="F6" s="11" t="n">
        <v>45713</v>
      </c>
      <c r="G6" s="12" t="n">
        <v>827956.96</v>
      </c>
      <c r="H6" s="12" t="n">
        <v>0</v>
      </c>
      <c r="I6" s="12" t="n">
        <v>827956.96</v>
      </c>
      <c r="J6" s="11"/>
      <c r="K6" s="13" t="s">
        <v>24</v>
      </c>
      <c r="L6" s="17" t="s">
        <v>34</v>
      </c>
      <c r="M6" s="14" t="n">
        <v>34</v>
      </c>
      <c r="N6" s="14" t="n">
        <v>30</v>
      </c>
    </row>
    <row r="7" customFormat="false" ht="15" hidden="false" customHeight="true" outlineLevel="0" collapsed="false">
      <c r="A7" s="4" t="s">
        <v>35</v>
      </c>
      <c r="B7" s="4" t="s">
        <v>36</v>
      </c>
      <c r="C7" s="4" t="s">
        <v>37</v>
      </c>
      <c r="D7" s="4" t="s">
        <v>18</v>
      </c>
      <c r="E7" s="5" t="n">
        <v>45664</v>
      </c>
      <c r="F7" s="5" t="n">
        <v>45724</v>
      </c>
      <c r="G7" s="6" t="n">
        <v>27895.39</v>
      </c>
      <c r="H7" s="6" t="n">
        <v>14449.16</v>
      </c>
      <c r="I7" s="6" t="n">
        <v>13446.23</v>
      </c>
      <c r="J7" s="5" t="n">
        <v>45721</v>
      </c>
      <c r="K7" s="7" t="s">
        <v>19</v>
      </c>
      <c r="L7" s="17" t="s">
        <v>34</v>
      </c>
      <c r="M7" s="9" t="n">
        <v>23</v>
      </c>
      <c r="N7" s="9" t="n">
        <v>60</v>
      </c>
    </row>
    <row r="8" customFormat="false" ht="15" hidden="false" customHeight="true" outlineLevel="0" collapsed="false">
      <c r="A8" s="10" t="s">
        <v>38</v>
      </c>
      <c r="B8" s="10" t="s">
        <v>39</v>
      </c>
      <c r="C8" s="10" t="s">
        <v>40</v>
      </c>
      <c r="D8" s="10" t="s">
        <v>41</v>
      </c>
      <c r="E8" s="11" t="n">
        <v>45644</v>
      </c>
      <c r="F8" s="11" t="n">
        <v>45689</v>
      </c>
      <c r="G8" s="12" t="n">
        <v>335706.27</v>
      </c>
      <c r="H8" s="12" t="n">
        <v>0</v>
      </c>
      <c r="I8" s="12" t="n">
        <v>335706.27</v>
      </c>
      <c r="J8" s="11"/>
      <c r="K8" s="13" t="s">
        <v>24</v>
      </c>
      <c r="L8" s="8" t="s">
        <v>20</v>
      </c>
      <c r="M8" s="14" t="n">
        <v>58</v>
      </c>
      <c r="N8" s="14" t="n">
        <v>45</v>
      </c>
    </row>
    <row r="9" customFormat="false" ht="15" hidden="false" customHeight="true" outlineLevel="0" collapsed="false">
      <c r="A9" s="4" t="s">
        <v>42</v>
      </c>
      <c r="B9" s="4" t="s">
        <v>43</v>
      </c>
      <c r="C9" s="4" t="s">
        <v>44</v>
      </c>
      <c r="D9" s="4" t="s">
        <v>18</v>
      </c>
      <c r="E9" s="5" t="n">
        <v>45658</v>
      </c>
      <c r="F9" s="5" t="n">
        <v>45718</v>
      </c>
      <c r="G9" s="6" t="n">
        <v>82523.73</v>
      </c>
      <c r="H9" s="6" t="n">
        <v>0</v>
      </c>
      <c r="I9" s="6" t="n">
        <v>82523.73</v>
      </c>
      <c r="J9" s="5"/>
      <c r="K9" s="13" t="s">
        <v>24</v>
      </c>
      <c r="L9" s="17" t="s">
        <v>34</v>
      </c>
      <c r="M9" s="9" t="n">
        <v>29</v>
      </c>
      <c r="N9" s="9" t="n">
        <v>60</v>
      </c>
    </row>
    <row r="10" customFormat="false" ht="15" hidden="false" customHeight="true" outlineLevel="0" collapsed="false">
      <c r="A10" s="10" t="s">
        <v>45</v>
      </c>
      <c r="B10" s="10" t="s">
        <v>46</v>
      </c>
      <c r="C10" s="10" t="s">
        <v>27</v>
      </c>
      <c r="D10" s="10" t="s">
        <v>41</v>
      </c>
      <c r="E10" s="11" t="n">
        <v>45720</v>
      </c>
      <c r="F10" s="11" t="n">
        <v>45765</v>
      </c>
      <c r="G10" s="12" t="n">
        <v>211148.54</v>
      </c>
      <c r="H10" s="12" t="n">
        <v>0</v>
      </c>
      <c r="I10" s="12" t="n">
        <v>211148.54</v>
      </c>
      <c r="J10" s="11"/>
      <c r="K10" s="15" t="s">
        <v>28</v>
      </c>
      <c r="L10" s="16" t="s">
        <v>29</v>
      </c>
      <c r="M10" s="14" t="n">
        <v>0</v>
      </c>
      <c r="N10" s="14" t="n">
        <v>45</v>
      </c>
    </row>
    <row r="11" customFormat="false" ht="15" hidden="false" customHeight="true" outlineLevel="0" collapsed="false">
      <c r="A11" s="4" t="s">
        <v>47</v>
      </c>
      <c r="B11" s="4" t="s">
        <v>43</v>
      </c>
      <c r="C11" s="4" t="s">
        <v>44</v>
      </c>
      <c r="D11" s="4" t="s">
        <v>18</v>
      </c>
      <c r="E11" s="5" t="n">
        <v>45736</v>
      </c>
      <c r="F11" s="5" t="n">
        <v>45796</v>
      </c>
      <c r="G11" s="6" t="n">
        <v>40293.51</v>
      </c>
      <c r="H11" s="6" t="n">
        <v>0</v>
      </c>
      <c r="I11" s="6" t="n">
        <v>40293.51</v>
      </c>
      <c r="J11" s="5"/>
      <c r="K11" s="15" t="s">
        <v>28</v>
      </c>
      <c r="L11" s="16" t="s">
        <v>29</v>
      </c>
      <c r="M11" s="9" t="n">
        <v>0</v>
      </c>
      <c r="N11" s="9" t="n">
        <v>60</v>
      </c>
    </row>
    <row r="12" customFormat="false" ht="15" hidden="false" customHeight="true" outlineLevel="0" collapsed="false">
      <c r="A12" s="10" t="s">
        <v>48</v>
      </c>
      <c r="B12" s="10" t="s">
        <v>49</v>
      </c>
      <c r="C12" s="10" t="s">
        <v>44</v>
      </c>
      <c r="D12" s="10" t="s">
        <v>41</v>
      </c>
      <c r="E12" s="11" t="n">
        <v>45639</v>
      </c>
      <c r="F12" s="11" t="n">
        <v>45684</v>
      </c>
      <c r="G12" s="12" t="n">
        <v>138686.55</v>
      </c>
      <c r="H12" s="12" t="n">
        <v>0</v>
      </c>
      <c r="I12" s="12" t="n">
        <v>138686.55</v>
      </c>
      <c r="J12" s="11"/>
      <c r="K12" s="18" t="s">
        <v>50</v>
      </c>
      <c r="L12" s="8" t="s">
        <v>20</v>
      </c>
      <c r="M12" s="14" t="n">
        <v>63</v>
      </c>
      <c r="N12" s="14" t="n">
        <v>45</v>
      </c>
    </row>
    <row r="13" customFormat="false" ht="15" hidden="false" customHeight="true" outlineLevel="0" collapsed="false">
      <c r="A13" s="4" t="s">
        <v>51</v>
      </c>
      <c r="B13" s="4" t="s">
        <v>26</v>
      </c>
      <c r="C13" s="4" t="s">
        <v>27</v>
      </c>
      <c r="D13" s="4" t="s">
        <v>18</v>
      </c>
      <c r="E13" s="5" t="n">
        <v>45742</v>
      </c>
      <c r="F13" s="5" t="n">
        <v>45802</v>
      </c>
      <c r="G13" s="6" t="n">
        <v>33806.88</v>
      </c>
      <c r="H13" s="6" t="n">
        <v>0</v>
      </c>
      <c r="I13" s="6" t="n">
        <v>33806.88</v>
      </c>
      <c r="J13" s="5"/>
      <c r="K13" s="15" t="s">
        <v>28</v>
      </c>
      <c r="L13" s="16" t="s">
        <v>29</v>
      </c>
      <c r="M13" s="9" t="n">
        <v>0</v>
      </c>
      <c r="N13" s="9" t="n">
        <v>60</v>
      </c>
    </row>
    <row r="14" customFormat="false" ht="15" hidden="false" customHeight="true" outlineLevel="0" collapsed="false">
      <c r="A14" s="10" t="s">
        <v>52</v>
      </c>
      <c r="B14" s="10" t="s">
        <v>22</v>
      </c>
      <c r="C14" s="10" t="s">
        <v>23</v>
      </c>
      <c r="D14" s="10" t="s">
        <v>18</v>
      </c>
      <c r="E14" s="11" t="n">
        <v>45732</v>
      </c>
      <c r="F14" s="11" t="n">
        <v>45792</v>
      </c>
      <c r="G14" s="12" t="n">
        <v>51348.24</v>
      </c>
      <c r="H14" s="12" t="n">
        <v>0</v>
      </c>
      <c r="I14" s="12" t="n">
        <v>51348.24</v>
      </c>
      <c r="J14" s="11"/>
      <c r="K14" s="15" t="s">
        <v>28</v>
      </c>
      <c r="L14" s="16" t="s">
        <v>29</v>
      </c>
      <c r="M14" s="14" t="n">
        <v>0</v>
      </c>
      <c r="N14" s="14" t="n">
        <v>60</v>
      </c>
    </row>
    <row r="15" customFormat="false" ht="15" hidden="false" customHeight="true" outlineLevel="0" collapsed="false">
      <c r="A15" s="4" t="s">
        <v>53</v>
      </c>
      <c r="B15" s="4" t="s">
        <v>54</v>
      </c>
      <c r="C15" s="4" t="s">
        <v>55</v>
      </c>
      <c r="D15" s="4" t="s">
        <v>18</v>
      </c>
      <c r="E15" s="5" t="n">
        <v>45677</v>
      </c>
      <c r="F15" s="5" t="n">
        <v>45737</v>
      </c>
      <c r="G15" s="6" t="n">
        <v>44068.09</v>
      </c>
      <c r="H15" s="6" t="n">
        <v>0</v>
      </c>
      <c r="I15" s="6" t="n">
        <v>44068.09</v>
      </c>
      <c r="J15" s="5"/>
      <c r="K15" s="13" t="s">
        <v>24</v>
      </c>
      <c r="L15" s="17" t="s">
        <v>34</v>
      </c>
      <c r="M15" s="9" t="n">
        <v>10</v>
      </c>
      <c r="N15" s="9" t="n">
        <v>60</v>
      </c>
    </row>
    <row r="16" customFormat="false" ht="15" hidden="false" customHeight="true" outlineLevel="0" collapsed="false">
      <c r="A16" s="10" t="s">
        <v>56</v>
      </c>
      <c r="B16" s="10" t="s">
        <v>57</v>
      </c>
      <c r="C16" s="10" t="s">
        <v>58</v>
      </c>
      <c r="D16" s="10" t="s">
        <v>18</v>
      </c>
      <c r="E16" s="11" t="n">
        <v>45634</v>
      </c>
      <c r="F16" s="11" t="n">
        <v>45694</v>
      </c>
      <c r="G16" s="12" t="n">
        <v>66577.58</v>
      </c>
      <c r="H16" s="12" t="n">
        <v>35348.76</v>
      </c>
      <c r="I16" s="12" t="n">
        <v>31228.82</v>
      </c>
      <c r="J16" s="11" t="n">
        <v>45693</v>
      </c>
      <c r="K16" s="7" t="s">
        <v>19</v>
      </c>
      <c r="L16" s="8" t="s">
        <v>20</v>
      </c>
      <c r="M16" s="14" t="n">
        <v>53</v>
      </c>
      <c r="N16" s="14" t="n">
        <v>60</v>
      </c>
    </row>
    <row r="17" customFormat="false" ht="15" hidden="false" customHeight="true" outlineLevel="0" collapsed="false">
      <c r="A17" s="4" t="s">
        <v>59</v>
      </c>
      <c r="B17" s="4" t="s">
        <v>60</v>
      </c>
      <c r="C17" s="4" t="s">
        <v>44</v>
      </c>
      <c r="D17" s="4" t="s">
        <v>33</v>
      </c>
      <c r="E17" s="5" t="n">
        <v>45649</v>
      </c>
      <c r="F17" s="5" t="n">
        <v>45679</v>
      </c>
      <c r="G17" s="6" t="n">
        <v>1491894.98</v>
      </c>
      <c r="H17" s="6" t="n">
        <v>0</v>
      </c>
      <c r="I17" s="6" t="n">
        <v>1491894.98</v>
      </c>
      <c r="J17" s="5"/>
      <c r="K17" s="18" t="s">
        <v>50</v>
      </c>
      <c r="L17" s="8" t="s">
        <v>20</v>
      </c>
      <c r="M17" s="9" t="n">
        <v>68</v>
      </c>
      <c r="N17" s="9" t="n">
        <v>30</v>
      </c>
    </row>
    <row r="18" customFormat="false" ht="15" hidden="false" customHeight="true" outlineLevel="0" collapsed="false">
      <c r="A18" s="10" t="s">
        <v>61</v>
      </c>
      <c r="B18" s="10" t="s">
        <v>31</v>
      </c>
      <c r="C18" s="10" t="s">
        <v>32</v>
      </c>
      <c r="D18" s="10" t="s">
        <v>33</v>
      </c>
      <c r="E18" s="11" t="n">
        <v>45637</v>
      </c>
      <c r="F18" s="11" t="n">
        <v>45667</v>
      </c>
      <c r="G18" s="12" t="n">
        <v>1782976.58</v>
      </c>
      <c r="H18" s="12" t="n">
        <v>0</v>
      </c>
      <c r="I18" s="12" t="n">
        <v>1782976.58</v>
      </c>
      <c r="J18" s="11"/>
      <c r="K18" s="13" t="s">
        <v>24</v>
      </c>
      <c r="L18" s="8" t="s">
        <v>20</v>
      </c>
      <c r="M18" s="14" t="n">
        <v>80</v>
      </c>
      <c r="N18" s="14" t="n">
        <v>30</v>
      </c>
    </row>
    <row r="19" customFormat="false" ht="15" hidden="false" customHeight="true" outlineLevel="0" collapsed="false">
      <c r="A19" s="4" t="s">
        <v>62</v>
      </c>
      <c r="B19" s="4" t="s">
        <v>49</v>
      </c>
      <c r="C19" s="4" t="s">
        <v>44</v>
      </c>
      <c r="D19" s="4" t="s">
        <v>41</v>
      </c>
      <c r="E19" s="5" t="n">
        <v>45666</v>
      </c>
      <c r="F19" s="5" t="n">
        <v>45711</v>
      </c>
      <c r="G19" s="6" t="n">
        <v>211189.44</v>
      </c>
      <c r="H19" s="6" t="n">
        <v>77097.16</v>
      </c>
      <c r="I19" s="6" t="n">
        <v>134092.28</v>
      </c>
      <c r="J19" s="5" t="n">
        <v>45706</v>
      </c>
      <c r="K19" s="7" t="s">
        <v>19</v>
      </c>
      <c r="L19" s="17" t="s">
        <v>34</v>
      </c>
      <c r="M19" s="9" t="n">
        <v>36</v>
      </c>
      <c r="N19" s="9" t="n">
        <v>45</v>
      </c>
    </row>
    <row r="20" customFormat="false" ht="15" hidden="false" customHeight="true" outlineLevel="0" collapsed="false">
      <c r="A20" s="10" t="s">
        <v>63</v>
      </c>
      <c r="B20" s="10" t="s">
        <v>64</v>
      </c>
      <c r="C20" s="10" t="s">
        <v>65</v>
      </c>
      <c r="D20" s="10" t="s">
        <v>33</v>
      </c>
      <c r="E20" s="11" t="n">
        <v>45658</v>
      </c>
      <c r="F20" s="11" t="n">
        <v>45688</v>
      </c>
      <c r="G20" s="12" t="n">
        <v>1505262.76</v>
      </c>
      <c r="H20" s="12" t="n">
        <v>0</v>
      </c>
      <c r="I20" s="12" t="n">
        <v>1505262.76</v>
      </c>
      <c r="J20" s="11"/>
      <c r="K20" s="13" t="s">
        <v>24</v>
      </c>
      <c r="L20" s="17" t="s">
        <v>34</v>
      </c>
      <c r="M20" s="14" t="n">
        <v>59</v>
      </c>
      <c r="N20" s="14" t="n">
        <v>30</v>
      </c>
    </row>
    <row r="21" customFormat="false" ht="15" hidden="false" customHeight="true" outlineLevel="0" collapsed="false">
      <c r="A21" s="4" t="s">
        <v>66</v>
      </c>
      <c r="B21" s="4" t="s">
        <v>26</v>
      </c>
      <c r="C21" s="4" t="s">
        <v>27</v>
      </c>
      <c r="D21" s="4" t="s">
        <v>18</v>
      </c>
      <c r="E21" s="5" t="n">
        <v>45679</v>
      </c>
      <c r="F21" s="5" t="n">
        <v>45739</v>
      </c>
      <c r="G21" s="6" t="n">
        <v>67148.05</v>
      </c>
      <c r="H21" s="6" t="n">
        <v>26719.85</v>
      </c>
      <c r="I21" s="6" t="n">
        <v>40428.2</v>
      </c>
      <c r="J21" s="5" t="n">
        <v>45732</v>
      </c>
      <c r="K21" s="7" t="s">
        <v>19</v>
      </c>
      <c r="L21" s="17" t="s">
        <v>34</v>
      </c>
      <c r="M21" s="9" t="n">
        <v>8</v>
      </c>
      <c r="N21" s="9" t="n">
        <v>60</v>
      </c>
    </row>
    <row r="22" customFormat="false" ht="15" hidden="false" customHeight="true" outlineLevel="0" collapsed="false">
      <c r="A22" s="10" t="s">
        <v>67</v>
      </c>
      <c r="B22" s="10" t="s">
        <v>49</v>
      </c>
      <c r="C22" s="10" t="s">
        <v>44</v>
      </c>
      <c r="D22" s="10" t="s">
        <v>41</v>
      </c>
      <c r="E22" s="11" t="n">
        <v>45629</v>
      </c>
      <c r="F22" s="11" t="n">
        <v>45674</v>
      </c>
      <c r="G22" s="12" t="n">
        <v>207979.13</v>
      </c>
      <c r="H22" s="12" t="n">
        <v>207979.13</v>
      </c>
      <c r="I22" s="12" t="n">
        <v>0</v>
      </c>
      <c r="J22" s="11" t="n">
        <v>45740</v>
      </c>
      <c r="K22" s="19" t="s">
        <v>68</v>
      </c>
      <c r="L22" s="20" t="s">
        <v>68</v>
      </c>
      <c r="M22" s="14" t="n">
        <v>73</v>
      </c>
      <c r="N22" s="14" t="n">
        <v>45</v>
      </c>
    </row>
    <row r="23" customFormat="false" ht="15" hidden="false" customHeight="true" outlineLevel="0" collapsed="false">
      <c r="A23" s="4" t="s">
        <v>69</v>
      </c>
      <c r="B23" s="4" t="s">
        <v>64</v>
      </c>
      <c r="C23" s="4" t="s">
        <v>65</v>
      </c>
      <c r="D23" s="4" t="s">
        <v>33</v>
      </c>
      <c r="E23" s="5" t="n">
        <v>45640</v>
      </c>
      <c r="F23" s="5" t="n">
        <v>45670</v>
      </c>
      <c r="G23" s="6" t="n">
        <v>1526921.38</v>
      </c>
      <c r="H23" s="6" t="n">
        <v>0</v>
      </c>
      <c r="I23" s="6" t="n">
        <v>1526921.38</v>
      </c>
      <c r="J23" s="5"/>
      <c r="K23" s="13" t="s">
        <v>24</v>
      </c>
      <c r="L23" s="8" t="s">
        <v>20</v>
      </c>
      <c r="M23" s="9" t="n">
        <v>77</v>
      </c>
      <c r="N23" s="9" t="n">
        <v>30</v>
      </c>
    </row>
    <row r="24" customFormat="false" ht="15" hidden="false" customHeight="true" outlineLevel="0" collapsed="false">
      <c r="A24" s="10" t="s">
        <v>70</v>
      </c>
      <c r="B24" s="10" t="s">
        <v>64</v>
      </c>
      <c r="C24" s="10" t="s">
        <v>65</v>
      </c>
      <c r="D24" s="10" t="s">
        <v>33</v>
      </c>
      <c r="E24" s="11" t="n">
        <v>45644</v>
      </c>
      <c r="F24" s="11" t="n">
        <v>45674</v>
      </c>
      <c r="G24" s="12" t="n">
        <v>1732703.89</v>
      </c>
      <c r="H24" s="12" t="n">
        <v>0</v>
      </c>
      <c r="I24" s="12" t="n">
        <v>1732703.89</v>
      </c>
      <c r="J24" s="11"/>
      <c r="K24" s="18" t="s">
        <v>50</v>
      </c>
      <c r="L24" s="8" t="s">
        <v>20</v>
      </c>
      <c r="M24" s="14" t="n">
        <v>73</v>
      </c>
      <c r="N24" s="14" t="n">
        <v>30</v>
      </c>
    </row>
    <row r="25" customFormat="false" ht="15" hidden="false" customHeight="true" outlineLevel="0" collapsed="false">
      <c r="A25" s="4" t="s">
        <v>71</v>
      </c>
      <c r="B25" s="4" t="s">
        <v>49</v>
      </c>
      <c r="C25" s="4" t="s">
        <v>44</v>
      </c>
      <c r="D25" s="4" t="s">
        <v>41</v>
      </c>
      <c r="E25" s="5" t="n">
        <v>45720</v>
      </c>
      <c r="F25" s="5" t="n">
        <v>45765</v>
      </c>
      <c r="G25" s="6" t="n">
        <v>207096.35</v>
      </c>
      <c r="H25" s="6" t="n">
        <v>0</v>
      </c>
      <c r="I25" s="6" t="n">
        <v>207096.35</v>
      </c>
      <c r="J25" s="5"/>
      <c r="K25" s="15" t="s">
        <v>28</v>
      </c>
      <c r="L25" s="16" t="s">
        <v>29</v>
      </c>
      <c r="M25" s="9" t="n">
        <v>0</v>
      </c>
      <c r="N25" s="9" t="n">
        <v>45</v>
      </c>
    </row>
    <row r="26" customFormat="false" ht="15" hidden="false" customHeight="true" outlineLevel="0" collapsed="false">
      <c r="A26" s="10" t="s">
        <v>72</v>
      </c>
      <c r="B26" s="10" t="s">
        <v>54</v>
      </c>
      <c r="C26" s="10" t="s">
        <v>55</v>
      </c>
      <c r="D26" s="10" t="s">
        <v>18</v>
      </c>
      <c r="E26" s="11" t="n">
        <v>45635</v>
      </c>
      <c r="F26" s="11" t="n">
        <v>45695</v>
      </c>
      <c r="G26" s="12" t="n">
        <v>94861.87</v>
      </c>
      <c r="H26" s="12" t="n">
        <v>36526.62</v>
      </c>
      <c r="I26" s="12" t="n">
        <v>58335.25</v>
      </c>
      <c r="J26" s="11" t="n">
        <v>45688</v>
      </c>
      <c r="K26" s="7" t="s">
        <v>19</v>
      </c>
      <c r="L26" s="8" t="s">
        <v>20</v>
      </c>
      <c r="M26" s="14" t="n">
        <v>52</v>
      </c>
      <c r="N26" s="14" t="n">
        <v>60</v>
      </c>
    </row>
    <row r="27" customFormat="false" ht="15" hidden="false" customHeight="true" outlineLevel="0" collapsed="false">
      <c r="A27" s="4" t="s">
        <v>73</v>
      </c>
      <c r="B27" s="4" t="s">
        <v>49</v>
      </c>
      <c r="C27" s="4" t="s">
        <v>44</v>
      </c>
      <c r="D27" s="4" t="s">
        <v>41</v>
      </c>
      <c r="E27" s="5" t="n">
        <v>45665</v>
      </c>
      <c r="F27" s="5" t="n">
        <v>45710</v>
      </c>
      <c r="G27" s="6" t="n">
        <v>453873.26</v>
      </c>
      <c r="H27" s="6" t="n">
        <v>0</v>
      </c>
      <c r="I27" s="6" t="n">
        <v>453873.26</v>
      </c>
      <c r="J27" s="5"/>
      <c r="K27" s="18" t="s">
        <v>50</v>
      </c>
      <c r="L27" s="17" t="s">
        <v>34</v>
      </c>
      <c r="M27" s="9" t="n">
        <v>37</v>
      </c>
      <c r="N27" s="9" t="n">
        <v>45</v>
      </c>
    </row>
    <row r="28" customFormat="false" ht="15" hidden="false" customHeight="true" outlineLevel="0" collapsed="false">
      <c r="A28" s="10" t="s">
        <v>74</v>
      </c>
      <c r="B28" s="10" t="s">
        <v>75</v>
      </c>
      <c r="C28" s="10" t="s">
        <v>44</v>
      </c>
      <c r="D28" s="10" t="s">
        <v>33</v>
      </c>
      <c r="E28" s="11" t="n">
        <v>45716</v>
      </c>
      <c r="F28" s="11" t="n">
        <v>45746</v>
      </c>
      <c r="G28" s="12" t="n">
        <v>897320.25</v>
      </c>
      <c r="H28" s="12" t="n">
        <v>470686.87</v>
      </c>
      <c r="I28" s="12" t="n">
        <v>426633.38</v>
      </c>
      <c r="J28" s="11" t="n">
        <v>45742</v>
      </c>
      <c r="K28" s="7" t="s">
        <v>19</v>
      </c>
      <c r="L28" s="21" t="s">
        <v>76</v>
      </c>
      <c r="M28" s="14" t="n">
        <v>1</v>
      </c>
      <c r="N28" s="14" t="n">
        <v>30</v>
      </c>
    </row>
    <row r="29" customFormat="false" ht="15" hidden="false" customHeight="true" outlineLevel="0" collapsed="false">
      <c r="A29" s="4" t="s">
        <v>77</v>
      </c>
      <c r="B29" s="4" t="s">
        <v>22</v>
      </c>
      <c r="C29" s="4" t="s">
        <v>23</v>
      </c>
      <c r="D29" s="4" t="s">
        <v>18</v>
      </c>
      <c r="E29" s="5" t="n">
        <v>45633</v>
      </c>
      <c r="F29" s="5" t="n">
        <v>45693</v>
      </c>
      <c r="G29" s="6" t="n">
        <v>62612.74</v>
      </c>
      <c r="H29" s="6" t="n">
        <v>0</v>
      </c>
      <c r="I29" s="6" t="n">
        <v>62612.74</v>
      </c>
      <c r="J29" s="5"/>
      <c r="K29" s="18" t="s">
        <v>50</v>
      </c>
      <c r="L29" s="8" t="s">
        <v>20</v>
      </c>
      <c r="M29" s="9" t="n">
        <v>54</v>
      </c>
      <c r="N29" s="9" t="n">
        <v>60</v>
      </c>
    </row>
    <row r="30" customFormat="false" ht="15" hidden="false" customHeight="true" outlineLevel="0" collapsed="false">
      <c r="A30" s="10" t="s">
        <v>78</v>
      </c>
      <c r="B30" s="10" t="s">
        <v>46</v>
      </c>
      <c r="C30" s="10" t="s">
        <v>27</v>
      </c>
      <c r="D30" s="10" t="s">
        <v>41</v>
      </c>
      <c r="E30" s="11" t="n">
        <v>45730</v>
      </c>
      <c r="F30" s="11" t="n">
        <v>45775</v>
      </c>
      <c r="G30" s="12" t="n">
        <v>187728.3</v>
      </c>
      <c r="H30" s="12" t="n">
        <v>0</v>
      </c>
      <c r="I30" s="12" t="n">
        <v>187728.3</v>
      </c>
      <c r="J30" s="11"/>
      <c r="K30" s="15" t="s">
        <v>28</v>
      </c>
      <c r="L30" s="16" t="s">
        <v>29</v>
      </c>
      <c r="M30" s="14" t="n">
        <v>0</v>
      </c>
      <c r="N30" s="14" t="n">
        <v>45</v>
      </c>
    </row>
    <row r="31" customFormat="false" ht="15" hidden="false" customHeight="true" outlineLevel="0" collapsed="false">
      <c r="A31" s="4" t="s">
        <v>79</v>
      </c>
      <c r="B31" s="4" t="s">
        <v>36</v>
      </c>
      <c r="C31" s="4" t="s">
        <v>37</v>
      </c>
      <c r="D31" s="4" t="s">
        <v>18</v>
      </c>
      <c r="E31" s="5" t="n">
        <v>45651</v>
      </c>
      <c r="F31" s="5" t="n">
        <v>45711</v>
      </c>
      <c r="G31" s="6" t="n">
        <v>54416.43</v>
      </c>
      <c r="H31" s="6" t="n">
        <v>0</v>
      </c>
      <c r="I31" s="6" t="n">
        <v>54416.43</v>
      </c>
      <c r="J31" s="5"/>
      <c r="K31" s="13" t="s">
        <v>24</v>
      </c>
      <c r="L31" s="8" t="s">
        <v>20</v>
      </c>
      <c r="M31" s="9" t="n">
        <v>36</v>
      </c>
      <c r="N31" s="9" t="n">
        <v>60</v>
      </c>
    </row>
    <row r="32" customFormat="false" ht="15" hidden="false" customHeight="true" outlineLevel="0" collapsed="false">
      <c r="A32" s="10" t="s">
        <v>80</v>
      </c>
      <c r="B32" s="10" t="s">
        <v>57</v>
      </c>
      <c r="C32" s="10" t="s">
        <v>58</v>
      </c>
      <c r="D32" s="10" t="s">
        <v>18</v>
      </c>
      <c r="E32" s="11" t="n">
        <v>45667</v>
      </c>
      <c r="F32" s="11" t="n">
        <v>45727</v>
      </c>
      <c r="G32" s="12" t="n">
        <v>19868.42</v>
      </c>
      <c r="H32" s="12" t="n">
        <v>0</v>
      </c>
      <c r="I32" s="12" t="n">
        <v>19868.42</v>
      </c>
      <c r="J32" s="11"/>
      <c r="K32" s="15" t="s">
        <v>28</v>
      </c>
      <c r="L32" s="17" t="s">
        <v>34</v>
      </c>
      <c r="M32" s="14" t="n">
        <v>20</v>
      </c>
      <c r="N32" s="14" t="n">
        <v>60</v>
      </c>
    </row>
    <row r="33" customFormat="false" ht="15" hidden="false" customHeight="true" outlineLevel="0" collapsed="false">
      <c r="A33" s="4" t="s">
        <v>81</v>
      </c>
      <c r="B33" s="4" t="s">
        <v>43</v>
      </c>
      <c r="C33" s="4" t="s">
        <v>44</v>
      </c>
      <c r="D33" s="4" t="s">
        <v>18</v>
      </c>
      <c r="E33" s="5" t="n">
        <v>45671</v>
      </c>
      <c r="F33" s="5" t="n">
        <v>45731</v>
      </c>
      <c r="G33" s="6" t="n">
        <v>71243.31</v>
      </c>
      <c r="H33" s="6" t="n">
        <v>0</v>
      </c>
      <c r="I33" s="6" t="n">
        <v>71243.31</v>
      </c>
      <c r="J33" s="5"/>
      <c r="K33" s="15" t="s">
        <v>28</v>
      </c>
      <c r="L33" s="17" t="s">
        <v>34</v>
      </c>
      <c r="M33" s="9" t="n">
        <v>16</v>
      </c>
      <c r="N33" s="9" t="n">
        <v>60</v>
      </c>
    </row>
    <row r="34" customFormat="false" ht="15" hidden="false" customHeight="true" outlineLevel="0" collapsed="false">
      <c r="A34" s="10" t="s">
        <v>82</v>
      </c>
      <c r="B34" s="10" t="s">
        <v>49</v>
      </c>
      <c r="C34" s="10" t="s">
        <v>44</v>
      </c>
      <c r="D34" s="10" t="s">
        <v>41</v>
      </c>
      <c r="E34" s="11" t="n">
        <v>45688</v>
      </c>
      <c r="F34" s="11" t="n">
        <v>45733</v>
      </c>
      <c r="G34" s="12" t="n">
        <v>252647.71</v>
      </c>
      <c r="H34" s="12" t="n">
        <v>101201.99</v>
      </c>
      <c r="I34" s="12" t="n">
        <v>151445.72</v>
      </c>
      <c r="J34" s="11" t="n">
        <v>45725</v>
      </c>
      <c r="K34" s="7" t="s">
        <v>19</v>
      </c>
      <c r="L34" s="21" t="s">
        <v>76</v>
      </c>
      <c r="M34" s="14" t="n">
        <v>14</v>
      </c>
      <c r="N34" s="14" t="n">
        <v>45</v>
      </c>
    </row>
    <row r="35" customFormat="false" ht="15" hidden="false" customHeight="true" outlineLevel="0" collapsed="false">
      <c r="A35" s="4" t="s">
        <v>83</v>
      </c>
      <c r="B35" s="4" t="s">
        <v>57</v>
      </c>
      <c r="C35" s="4" t="s">
        <v>58</v>
      </c>
      <c r="D35" s="4" t="s">
        <v>18</v>
      </c>
      <c r="E35" s="5" t="n">
        <v>45660</v>
      </c>
      <c r="F35" s="5" t="n">
        <v>45720</v>
      </c>
      <c r="G35" s="6" t="n">
        <v>94818.78</v>
      </c>
      <c r="H35" s="6" t="n">
        <v>32790.3</v>
      </c>
      <c r="I35" s="6" t="n">
        <v>62028.48</v>
      </c>
      <c r="J35" s="5" t="n">
        <v>45712</v>
      </c>
      <c r="K35" s="7" t="s">
        <v>19</v>
      </c>
      <c r="L35" s="17" t="s">
        <v>34</v>
      </c>
      <c r="M35" s="9" t="n">
        <v>27</v>
      </c>
      <c r="N35" s="9" t="n">
        <v>60</v>
      </c>
    </row>
    <row r="36" customFormat="false" ht="15" hidden="false" customHeight="true" outlineLevel="0" collapsed="false">
      <c r="A36" s="10" t="s">
        <v>84</v>
      </c>
      <c r="B36" s="10" t="s">
        <v>43</v>
      </c>
      <c r="C36" s="10" t="s">
        <v>44</v>
      </c>
      <c r="D36" s="10" t="s">
        <v>18</v>
      </c>
      <c r="E36" s="11" t="n">
        <v>45665</v>
      </c>
      <c r="F36" s="11" t="n">
        <v>45725</v>
      </c>
      <c r="G36" s="12" t="n">
        <v>34014.27</v>
      </c>
      <c r="H36" s="12" t="n">
        <v>0</v>
      </c>
      <c r="I36" s="12" t="n">
        <v>34014.27</v>
      </c>
      <c r="J36" s="11"/>
      <c r="K36" s="13" t="s">
        <v>24</v>
      </c>
      <c r="L36" s="17" t="s">
        <v>34</v>
      </c>
      <c r="M36" s="14" t="n">
        <v>22</v>
      </c>
      <c r="N36" s="14" t="n">
        <v>60</v>
      </c>
    </row>
    <row r="37" customFormat="false" ht="15" hidden="false" customHeight="true" outlineLevel="0" collapsed="false">
      <c r="A37" s="4" t="s">
        <v>85</v>
      </c>
      <c r="B37" s="4" t="s">
        <v>31</v>
      </c>
      <c r="C37" s="4" t="s">
        <v>32</v>
      </c>
      <c r="D37" s="4" t="s">
        <v>33</v>
      </c>
      <c r="E37" s="5" t="n">
        <v>45727</v>
      </c>
      <c r="F37" s="5" t="n">
        <v>45757</v>
      </c>
      <c r="G37" s="6" t="n">
        <v>940250.19</v>
      </c>
      <c r="H37" s="6" t="n">
        <v>0</v>
      </c>
      <c r="I37" s="6" t="n">
        <v>940250.19</v>
      </c>
      <c r="J37" s="5"/>
      <c r="K37" s="15" t="s">
        <v>28</v>
      </c>
      <c r="L37" s="16" t="s">
        <v>29</v>
      </c>
      <c r="M37" s="9" t="n">
        <v>0</v>
      </c>
      <c r="N37" s="9" t="n">
        <v>30</v>
      </c>
    </row>
    <row r="38" customFormat="false" ht="15" hidden="false" customHeight="true" outlineLevel="0" collapsed="false">
      <c r="A38" s="10" t="s">
        <v>86</v>
      </c>
      <c r="B38" s="10" t="s">
        <v>39</v>
      </c>
      <c r="C38" s="10" t="s">
        <v>40</v>
      </c>
      <c r="D38" s="10" t="s">
        <v>41</v>
      </c>
      <c r="E38" s="11" t="n">
        <v>45655</v>
      </c>
      <c r="F38" s="11" t="n">
        <v>45700</v>
      </c>
      <c r="G38" s="12" t="n">
        <v>101298.13</v>
      </c>
      <c r="H38" s="12" t="n">
        <v>69769.62</v>
      </c>
      <c r="I38" s="12" t="n">
        <v>31528.51</v>
      </c>
      <c r="J38" s="11" t="n">
        <v>45698</v>
      </c>
      <c r="K38" s="7" t="s">
        <v>19</v>
      </c>
      <c r="L38" s="8" t="s">
        <v>20</v>
      </c>
      <c r="M38" s="14" t="n">
        <v>47</v>
      </c>
      <c r="N38" s="14" t="n">
        <v>45</v>
      </c>
    </row>
    <row r="39" customFormat="false" ht="15" hidden="false" customHeight="true" outlineLevel="0" collapsed="false">
      <c r="A39" s="4" t="s">
        <v>87</v>
      </c>
      <c r="B39" s="4" t="s">
        <v>36</v>
      </c>
      <c r="C39" s="4" t="s">
        <v>37</v>
      </c>
      <c r="D39" s="4" t="s">
        <v>18</v>
      </c>
      <c r="E39" s="5" t="n">
        <v>45636</v>
      </c>
      <c r="F39" s="5" t="n">
        <v>45696</v>
      </c>
      <c r="G39" s="6" t="n">
        <v>92136.51</v>
      </c>
      <c r="H39" s="6" t="n">
        <v>58660.34</v>
      </c>
      <c r="I39" s="6" t="n">
        <v>33476.17</v>
      </c>
      <c r="J39" s="5" t="n">
        <v>45688</v>
      </c>
      <c r="K39" s="7" t="s">
        <v>19</v>
      </c>
      <c r="L39" s="8" t="s">
        <v>20</v>
      </c>
      <c r="M39" s="9" t="n">
        <v>51</v>
      </c>
      <c r="N39" s="9" t="n">
        <v>60</v>
      </c>
    </row>
    <row r="40" customFormat="false" ht="15" hidden="false" customHeight="true" outlineLevel="0" collapsed="false">
      <c r="A40" s="10" t="s">
        <v>88</v>
      </c>
      <c r="B40" s="10" t="s">
        <v>26</v>
      </c>
      <c r="C40" s="10" t="s">
        <v>27</v>
      </c>
      <c r="D40" s="10" t="s">
        <v>18</v>
      </c>
      <c r="E40" s="11" t="n">
        <v>45700</v>
      </c>
      <c r="F40" s="11" t="n">
        <v>45760</v>
      </c>
      <c r="G40" s="12" t="n">
        <v>27902</v>
      </c>
      <c r="H40" s="12" t="n">
        <v>0</v>
      </c>
      <c r="I40" s="12" t="n">
        <v>27902</v>
      </c>
      <c r="J40" s="11"/>
      <c r="K40" s="15" t="s">
        <v>28</v>
      </c>
      <c r="L40" s="21" t="s">
        <v>76</v>
      </c>
      <c r="M40" s="14" t="n">
        <v>0</v>
      </c>
      <c r="N40" s="14" t="n">
        <v>60</v>
      </c>
    </row>
    <row r="41" customFormat="false" ht="15" hidden="false" customHeight="true" outlineLevel="0" collapsed="false">
      <c r="A41" s="4" t="s">
        <v>89</v>
      </c>
      <c r="B41" s="4" t="s">
        <v>43</v>
      </c>
      <c r="C41" s="4" t="s">
        <v>44</v>
      </c>
      <c r="D41" s="4" t="s">
        <v>18</v>
      </c>
      <c r="E41" s="5" t="n">
        <v>45648</v>
      </c>
      <c r="F41" s="5" t="n">
        <v>45708</v>
      </c>
      <c r="G41" s="6" t="n">
        <v>24539.41</v>
      </c>
      <c r="H41" s="6" t="n">
        <v>0</v>
      </c>
      <c r="I41" s="6" t="n">
        <v>24539.41</v>
      </c>
      <c r="J41" s="5"/>
      <c r="K41" s="13" t="s">
        <v>24</v>
      </c>
      <c r="L41" s="8" t="s">
        <v>20</v>
      </c>
      <c r="M41" s="9" t="n">
        <v>39</v>
      </c>
      <c r="N41" s="9" t="n">
        <v>60</v>
      </c>
    </row>
    <row r="42" customFormat="false" ht="15" hidden="false" customHeight="true" outlineLevel="0" collapsed="false">
      <c r="A42" s="10" t="s">
        <v>90</v>
      </c>
      <c r="B42" s="10" t="s">
        <v>26</v>
      </c>
      <c r="C42" s="10" t="s">
        <v>27</v>
      </c>
      <c r="D42" s="10" t="s">
        <v>18</v>
      </c>
      <c r="E42" s="11" t="n">
        <v>45745</v>
      </c>
      <c r="F42" s="11" t="n">
        <v>45805</v>
      </c>
      <c r="G42" s="12" t="n">
        <v>39174.05</v>
      </c>
      <c r="H42" s="12" t="n">
        <v>0</v>
      </c>
      <c r="I42" s="12" t="n">
        <v>39174.05</v>
      </c>
      <c r="J42" s="11"/>
      <c r="K42" s="15" t="s">
        <v>28</v>
      </c>
      <c r="L42" s="16" t="s">
        <v>29</v>
      </c>
      <c r="M42" s="14" t="n">
        <v>0</v>
      </c>
      <c r="N42" s="14" t="n">
        <v>60</v>
      </c>
    </row>
    <row r="43" customFormat="false" ht="15" hidden="false" customHeight="true" outlineLevel="0" collapsed="false">
      <c r="A43" s="4" t="s">
        <v>91</v>
      </c>
      <c r="B43" s="4" t="s">
        <v>31</v>
      </c>
      <c r="C43" s="4" t="s">
        <v>32</v>
      </c>
      <c r="D43" s="4" t="s">
        <v>33</v>
      </c>
      <c r="E43" s="5" t="n">
        <v>45635</v>
      </c>
      <c r="F43" s="5" t="n">
        <v>45665</v>
      </c>
      <c r="G43" s="6" t="n">
        <v>1893647.92</v>
      </c>
      <c r="H43" s="6" t="n">
        <v>0</v>
      </c>
      <c r="I43" s="6" t="n">
        <v>1893647.92</v>
      </c>
      <c r="J43" s="5"/>
      <c r="K43" s="18" t="s">
        <v>50</v>
      </c>
      <c r="L43" s="8" t="s">
        <v>20</v>
      </c>
      <c r="M43" s="9" t="n">
        <v>82</v>
      </c>
      <c r="N43" s="9" t="n">
        <v>30</v>
      </c>
    </row>
    <row r="44" customFormat="false" ht="15" hidden="false" customHeight="true" outlineLevel="0" collapsed="false">
      <c r="A44" s="10" t="s">
        <v>92</v>
      </c>
      <c r="B44" s="10" t="s">
        <v>64</v>
      </c>
      <c r="C44" s="10" t="s">
        <v>65</v>
      </c>
      <c r="D44" s="10" t="s">
        <v>33</v>
      </c>
      <c r="E44" s="11" t="n">
        <v>45635</v>
      </c>
      <c r="F44" s="11" t="n">
        <v>45665</v>
      </c>
      <c r="G44" s="12" t="n">
        <v>586887.75</v>
      </c>
      <c r="H44" s="12" t="n">
        <v>586887.75</v>
      </c>
      <c r="I44" s="12" t="n">
        <v>0</v>
      </c>
      <c r="J44" s="11" t="n">
        <v>45670</v>
      </c>
      <c r="K44" s="19" t="s">
        <v>68</v>
      </c>
      <c r="L44" s="20" t="s">
        <v>68</v>
      </c>
      <c r="M44" s="14" t="n">
        <v>82</v>
      </c>
      <c r="N44" s="14" t="n">
        <v>30</v>
      </c>
    </row>
    <row r="45" customFormat="false" ht="15" hidden="false" customHeight="true" outlineLevel="0" collapsed="false">
      <c r="A45" s="4" t="s">
        <v>93</v>
      </c>
      <c r="B45" s="4" t="s">
        <v>31</v>
      </c>
      <c r="C45" s="4" t="s">
        <v>32</v>
      </c>
      <c r="D45" s="4" t="s">
        <v>33</v>
      </c>
      <c r="E45" s="5" t="n">
        <v>45643</v>
      </c>
      <c r="F45" s="5" t="n">
        <v>45673</v>
      </c>
      <c r="G45" s="6" t="n">
        <v>1597861.39</v>
      </c>
      <c r="H45" s="6" t="n">
        <v>0</v>
      </c>
      <c r="I45" s="6" t="n">
        <v>1597861.39</v>
      </c>
      <c r="J45" s="5"/>
      <c r="K45" s="13" t="s">
        <v>24</v>
      </c>
      <c r="L45" s="8" t="s">
        <v>20</v>
      </c>
      <c r="M45" s="9" t="n">
        <v>74</v>
      </c>
      <c r="N45" s="9" t="n">
        <v>30</v>
      </c>
    </row>
    <row r="46" customFormat="false" ht="15" hidden="false" customHeight="true" outlineLevel="0" collapsed="false">
      <c r="A46" s="10" t="s">
        <v>94</v>
      </c>
      <c r="B46" s="10" t="s">
        <v>43</v>
      </c>
      <c r="C46" s="10" t="s">
        <v>44</v>
      </c>
      <c r="D46" s="10" t="s">
        <v>18</v>
      </c>
      <c r="E46" s="11" t="n">
        <v>45731</v>
      </c>
      <c r="F46" s="11" t="n">
        <v>45791</v>
      </c>
      <c r="G46" s="12" t="n">
        <v>57943.56</v>
      </c>
      <c r="H46" s="12" t="n">
        <v>0</v>
      </c>
      <c r="I46" s="12" t="n">
        <v>57943.56</v>
      </c>
      <c r="J46" s="11"/>
      <c r="K46" s="15" t="s">
        <v>28</v>
      </c>
      <c r="L46" s="16" t="s">
        <v>29</v>
      </c>
      <c r="M46" s="14" t="n">
        <v>0</v>
      </c>
      <c r="N46" s="14" t="n">
        <v>60</v>
      </c>
    </row>
    <row r="47" customFormat="false" ht="15" hidden="false" customHeight="true" outlineLevel="0" collapsed="false">
      <c r="A47" s="4" t="s">
        <v>95</v>
      </c>
      <c r="B47" s="4" t="s">
        <v>75</v>
      </c>
      <c r="C47" s="4" t="s">
        <v>44</v>
      </c>
      <c r="D47" s="4" t="s">
        <v>33</v>
      </c>
      <c r="E47" s="5" t="n">
        <v>45677</v>
      </c>
      <c r="F47" s="5" t="n">
        <v>45707</v>
      </c>
      <c r="G47" s="6" t="n">
        <v>1489626.23</v>
      </c>
      <c r="H47" s="6" t="n">
        <v>0</v>
      </c>
      <c r="I47" s="6" t="n">
        <v>1489626.23</v>
      </c>
      <c r="J47" s="5"/>
      <c r="K47" s="13" t="s">
        <v>24</v>
      </c>
      <c r="L47" s="17" t="s">
        <v>34</v>
      </c>
      <c r="M47" s="9" t="n">
        <v>40</v>
      </c>
      <c r="N47" s="9" t="n">
        <v>30</v>
      </c>
    </row>
    <row r="48" customFormat="false" ht="15" hidden="false" customHeight="true" outlineLevel="0" collapsed="false">
      <c r="A48" s="10" t="s">
        <v>96</v>
      </c>
      <c r="B48" s="10" t="s">
        <v>97</v>
      </c>
      <c r="C48" s="10" t="s">
        <v>37</v>
      </c>
      <c r="D48" s="10" t="s">
        <v>41</v>
      </c>
      <c r="E48" s="11" t="n">
        <v>45670</v>
      </c>
      <c r="F48" s="11" t="n">
        <v>45715</v>
      </c>
      <c r="G48" s="12" t="n">
        <v>311069.51</v>
      </c>
      <c r="H48" s="12" t="n">
        <v>0</v>
      </c>
      <c r="I48" s="12" t="n">
        <v>311069.51</v>
      </c>
      <c r="J48" s="11"/>
      <c r="K48" s="18" t="s">
        <v>50</v>
      </c>
      <c r="L48" s="17" t="s">
        <v>34</v>
      </c>
      <c r="M48" s="14" t="n">
        <v>32</v>
      </c>
      <c r="N48" s="14" t="n">
        <v>45</v>
      </c>
    </row>
    <row r="49" customFormat="false" ht="15" hidden="false" customHeight="true" outlineLevel="0" collapsed="false">
      <c r="A49" s="4" t="s">
        <v>98</v>
      </c>
      <c r="B49" s="4" t="s">
        <v>64</v>
      </c>
      <c r="C49" s="4" t="s">
        <v>65</v>
      </c>
      <c r="D49" s="4" t="s">
        <v>33</v>
      </c>
      <c r="E49" s="5" t="n">
        <v>45651</v>
      </c>
      <c r="F49" s="5" t="n">
        <v>45681</v>
      </c>
      <c r="G49" s="6" t="n">
        <v>1893370.24</v>
      </c>
      <c r="H49" s="6" t="n">
        <v>1893370.24</v>
      </c>
      <c r="I49" s="6" t="n">
        <v>0</v>
      </c>
      <c r="J49" s="5" t="n">
        <v>45701</v>
      </c>
      <c r="K49" s="19" t="s">
        <v>68</v>
      </c>
      <c r="L49" s="20" t="s">
        <v>68</v>
      </c>
      <c r="M49" s="9" t="n">
        <v>66</v>
      </c>
      <c r="N49" s="9" t="n">
        <v>30</v>
      </c>
    </row>
    <row r="50" customFormat="false" ht="15" hidden="false" customHeight="true" outlineLevel="0" collapsed="false">
      <c r="A50" s="10" t="s">
        <v>99</v>
      </c>
      <c r="B50" s="10" t="s">
        <v>22</v>
      </c>
      <c r="C50" s="10" t="s">
        <v>23</v>
      </c>
      <c r="D50" s="10" t="s">
        <v>18</v>
      </c>
      <c r="E50" s="11" t="n">
        <v>45662</v>
      </c>
      <c r="F50" s="11" t="n">
        <v>45722</v>
      </c>
      <c r="G50" s="12" t="n">
        <v>38054.47</v>
      </c>
      <c r="H50" s="12" t="n">
        <v>17100.47</v>
      </c>
      <c r="I50" s="12" t="n">
        <v>20954</v>
      </c>
      <c r="J50" s="11" t="n">
        <v>45714</v>
      </c>
      <c r="K50" s="7" t="s">
        <v>19</v>
      </c>
      <c r="L50" s="17" t="s">
        <v>34</v>
      </c>
      <c r="M50" s="14" t="n">
        <v>25</v>
      </c>
      <c r="N50" s="14" t="n">
        <v>60</v>
      </c>
    </row>
    <row r="51" customFormat="false" ht="15" hidden="false" customHeight="true" outlineLevel="0" collapsed="false">
      <c r="A51" s="4" t="s">
        <v>100</v>
      </c>
      <c r="B51" s="4" t="s">
        <v>39</v>
      </c>
      <c r="C51" s="4" t="s">
        <v>40</v>
      </c>
      <c r="D51" s="4" t="s">
        <v>41</v>
      </c>
      <c r="E51" s="5" t="n">
        <v>45719</v>
      </c>
      <c r="F51" s="5" t="n">
        <v>45764</v>
      </c>
      <c r="G51" s="6" t="n">
        <v>148401.68</v>
      </c>
      <c r="H51" s="6" t="n">
        <v>0</v>
      </c>
      <c r="I51" s="6" t="n">
        <v>148401.68</v>
      </c>
      <c r="J51" s="5"/>
      <c r="K51" s="15" t="s">
        <v>28</v>
      </c>
      <c r="L51" s="16" t="s">
        <v>29</v>
      </c>
      <c r="M51" s="9" t="n">
        <v>0</v>
      </c>
      <c r="N51" s="9" t="n">
        <v>45</v>
      </c>
    </row>
    <row r="52" customFormat="false" ht="15" hidden="false" customHeight="true" outlineLevel="0" collapsed="false">
      <c r="A52" s="10" t="s">
        <v>101</v>
      </c>
      <c r="B52" s="10" t="s">
        <v>31</v>
      </c>
      <c r="C52" s="10" t="s">
        <v>32</v>
      </c>
      <c r="D52" s="10" t="s">
        <v>33</v>
      </c>
      <c r="E52" s="11" t="n">
        <v>45672</v>
      </c>
      <c r="F52" s="11" t="n">
        <v>45702</v>
      </c>
      <c r="G52" s="12" t="n">
        <v>1007128.34</v>
      </c>
      <c r="H52" s="12" t="n">
        <v>0</v>
      </c>
      <c r="I52" s="12" t="n">
        <v>1007128.34</v>
      </c>
      <c r="J52" s="11"/>
      <c r="K52" s="13" t="s">
        <v>24</v>
      </c>
      <c r="L52" s="17" t="s">
        <v>34</v>
      </c>
      <c r="M52" s="14" t="n">
        <v>45</v>
      </c>
      <c r="N52" s="14" t="n">
        <v>30</v>
      </c>
    </row>
    <row r="53" customFormat="false" ht="15" hidden="false" customHeight="true" outlineLevel="0" collapsed="false">
      <c r="A53" s="4" t="s">
        <v>102</v>
      </c>
      <c r="B53" s="4" t="s">
        <v>26</v>
      </c>
      <c r="C53" s="4" t="s">
        <v>27</v>
      </c>
      <c r="D53" s="4" t="s">
        <v>18</v>
      </c>
      <c r="E53" s="5" t="n">
        <v>45738</v>
      </c>
      <c r="F53" s="5" t="n">
        <v>45798</v>
      </c>
      <c r="G53" s="6" t="n">
        <v>29819.56</v>
      </c>
      <c r="H53" s="6" t="n">
        <v>0</v>
      </c>
      <c r="I53" s="6" t="n">
        <v>29819.56</v>
      </c>
      <c r="J53" s="5"/>
      <c r="K53" s="15" t="s">
        <v>28</v>
      </c>
      <c r="L53" s="16" t="s">
        <v>29</v>
      </c>
      <c r="M53" s="9" t="n">
        <v>0</v>
      </c>
      <c r="N53" s="9" t="n">
        <v>60</v>
      </c>
    </row>
    <row r="54" customFormat="false" ht="15" hidden="false" customHeight="true" outlineLevel="0" collapsed="false">
      <c r="A54" s="10" t="s">
        <v>103</v>
      </c>
      <c r="B54" s="10" t="s">
        <v>22</v>
      </c>
      <c r="C54" s="10" t="s">
        <v>23</v>
      </c>
      <c r="D54" s="10" t="s">
        <v>18</v>
      </c>
      <c r="E54" s="11" t="n">
        <v>45718</v>
      </c>
      <c r="F54" s="11" t="n">
        <v>45778</v>
      </c>
      <c r="G54" s="12" t="n">
        <v>66799.27</v>
      </c>
      <c r="H54" s="12" t="n">
        <v>0</v>
      </c>
      <c r="I54" s="12" t="n">
        <v>66799.27</v>
      </c>
      <c r="J54" s="11"/>
      <c r="K54" s="15" t="s">
        <v>28</v>
      </c>
      <c r="L54" s="16" t="s">
        <v>29</v>
      </c>
      <c r="M54" s="14" t="n">
        <v>0</v>
      </c>
      <c r="N54" s="14" t="n">
        <v>60</v>
      </c>
    </row>
    <row r="55" customFormat="false" ht="15" hidden="false" customHeight="true" outlineLevel="0" collapsed="false">
      <c r="A55" s="4" t="s">
        <v>104</v>
      </c>
      <c r="B55" s="4" t="s">
        <v>31</v>
      </c>
      <c r="C55" s="4" t="s">
        <v>32</v>
      </c>
      <c r="D55" s="4" t="s">
        <v>33</v>
      </c>
      <c r="E55" s="5" t="n">
        <v>45637</v>
      </c>
      <c r="F55" s="5" t="n">
        <v>45667</v>
      </c>
      <c r="G55" s="6" t="n">
        <v>1858130.02</v>
      </c>
      <c r="H55" s="6" t="n">
        <v>0</v>
      </c>
      <c r="I55" s="6" t="n">
        <v>1858130.02</v>
      </c>
      <c r="J55" s="5"/>
      <c r="K55" s="18" t="s">
        <v>50</v>
      </c>
      <c r="L55" s="8" t="s">
        <v>20</v>
      </c>
      <c r="M55" s="9" t="n">
        <v>80</v>
      </c>
      <c r="N55" s="9" t="n">
        <v>30</v>
      </c>
    </row>
    <row r="56" customFormat="false" ht="15" hidden="false" customHeight="true" outlineLevel="0" collapsed="false">
      <c r="A56" s="10" t="s">
        <v>105</v>
      </c>
      <c r="B56" s="10" t="s">
        <v>31</v>
      </c>
      <c r="C56" s="10" t="s">
        <v>32</v>
      </c>
      <c r="D56" s="10" t="s">
        <v>33</v>
      </c>
      <c r="E56" s="11" t="n">
        <v>45712</v>
      </c>
      <c r="F56" s="11" t="n">
        <v>45742</v>
      </c>
      <c r="G56" s="12" t="n">
        <v>1271234.18</v>
      </c>
      <c r="H56" s="12" t="n">
        <v>628200.46</v>
      </c>
      <c r="I56" s="12" t="n">
        <v>643033.72</v>
      </c>
      <c r="J56" s="11" t="n">
        <v>45734</v>
      </c>
      <c r="K56" s="7" t="s">
        <v>19</v>
      </c>
      <c r="L56" s="21" t="s">
        <v>76</v>
      </c>
      <c r="M56" s="14" t="n">
        <v>5</v>
      </c>
      <c r="N56" s="14" t="n">
        <v>30</v>
      </c>
    </row>
    <row r="57" customFormat="false" ht="15" hidden="false" customHeight="true" outlineLevel="0" collapsed="false">
      <c r="A57" s="4" t="s">
        <v>106</v>
      </c>
      <c r="B57" s="4" t="s">
        <v>75</v>
      </c>
      <c r="C57" s="4" t="s">
        <v>44</v>
      </c>
      <c r="D57" s="4" t="s">
        <v>33</v>
      </c>
      <c r="E57" s="5" t="n">
        <v>45635</v>
      </c>
      <c r="F57" s="5" t="n">
        <v>45665</v>
      </c>
      <c r="G57" s="6" t="n">
        <v>1585028.85</v>
      </c>
      <c r="H57" s="6" t="n">
        <v>1585028.85</v>
      </c>
      <c r="I57" s="6" t="n">
        <v>0</v>
      </c>
      <c r="J57" s="5" t="n">
        <v>45733</v>
      </c>
      <c r="K57" s="19" t="s">
        <v>68</v>
      </c>
      <c r="L57" s="20" t="s">
        <v>68</v>
      </c>
      <c r="M57" s="9" t="n">
        <v>82</v>
      </c>
      <c r="N57" s="9" t="n">
        <v>30</v>
      </c>
    </row>
    <row r="58" customFormat="false" ht="15" hidden="false" customHeight="true" outlineLevel="0" collapsed="false">
      <c r="A58" s="10" t="s">
        <v>107</v>
      </c>
      <c r="B58" s="10" t="s">
        <v>39</v>
      </c>
      <c r="C58" s="10" t="s">
        <v>40</v>
      </c>
      <c r="D58" s="10" t="s">
        <v>41</v>
      </c>
      <c r="E58" s="11" t="n">
        <v>45687</v>
      </c>
      <c r="F58" s="11" t="n">
        <v>45732</v>
      </c>
      <c r="G58" s="12" t="n">
        <v>197198.9</v>
      </c>
      <c r="H58" s="12" t="n">
        <v>0</v>
      </c>
      <c r="I58" s="12" t="n">
        <v>197198.9</v>
      </c>
      <c r="J58" s="11"/>
      <c r="K58" s="13" t="s">
        <v>24</v>
      </c>
      <c r="L58" s="21" t="s">
        <v>76</v>
      </c>
      <c r="M58" s="14" t="n">
        <v>15</v>
      </c>
      <c r="N58" s="14" t="n">
        <v>45</v>
      </c>
    </row>
    <row r="59" customFormat="false" ht="15" hidden="false" customHeight="true" outlineLevel="0" collapsed="false">
      <c r="A59" s="4" t="s">
        <v>108</v>
      </c>
      <c r="B59" s="4" t="s">
        <v>64</v>
      </c>
      <c r="C59" s="4" t="s">
        <v>65</v>
      </c>
      <c r="D59" s="4" t="s">
        <v>33</v>
      </c>
      <c r="E59" s="5" t="n">
        <v>45663</v>
      </c>
      <c r="F59" s="5" t="n">
        <v>45693</v>
      </c>
      <c r="G59" s="6" t="n">
        <v>641488.69</v>
      </c>
      <c r="H59" s="6" t="n">
        <v>0</v>
      </c>
      <c r="I59" s="6" t="n">
        <v>641488.69</v>
      </c>
      <c r="J59" s="5"/>
      <c r="K59" s="18" t="s">
        <v>50</v>
      </c>
      <c r="L59" s="17" t="s">
        <v>34</v>
      </c>
      <c r="M59" s="9" t="n">
        <v>54</v>
      </c>
      <c r="N59" s="9" t="n">
        <v>30</v>
      </c>
    </row>
    <row r="60" customFormat="false" ht="15" hidden="false" customHeight="true" outlineLevel="0" collapsed="false">
      <c r="A60" s="10" t="s">
        <v>109</v>
      </c>
      <c r="B60" s="10" t="s">
        <v>46</v>
      </c>
      <c r="C60" s="10" t="s">
        <v>27</v>
      </c>
      <c r="D60" s="10" t="s">
        <v>41</v>
      </c>
      <c r="E60" s="11" t="n">
        <v>45688</v>
      </c>
      <c r="F60" s="11" t="n">
        <v>45733</v>
      </c>
      <c r="G60" s="12" t="n">
        <v>269431.45</v>
      </c>
      <c r="H60" s="12" t="n">
        <v>86667.6</v>
      </c>
      <c r="I60" s="12" t="n">
        <v>182763.85</v>
      </c>
      <c r="J60" s="11" t="n">
        <v>45723</v>
      </c>
      <c r="K60" s="7" t="s">
        <v>19</v>
      </c>
      <c r="L60" s="21" t="s">
        <v>76</v>
      </c>
      <c r="M60" s="14" t="n">
        <v>14</v>
      </c>
      <c r="N60" s="14" t="n">
        <v>45</v>
      </c>
    </row>
    <row r="61" customFormat="false" ht="15" hidden="false" customHeight="true" outlineLevel="0" collapsed="false">
      <c r="A61" s="4" t="s">
        <v>110</v>
      </c>
      <c r="B61" s="4" t="s">
        <v>16</v>
      </c>
      <c r="C61" s="4" t="s">
        <v>17</v>
      </c>
      <c r="D61" s="4" t="s">
        <v>18</v>
      </c>
      <c r="E61" s="5" t="n">
        <v>45696</v>
      </c>
      <c r="F61" s="5" t="n">
        <v>45756</v>
      </c>
      <c r="G61" s="6" t="n">
        <v>18857.61</v>
      </c>
      <c r="H61" s="6" t="n">
        <v>0</v>
      </c>
      <c r="I61" s="6" t="n">
        <v>18857.61</v>
      </c>
      <c r="J61" s="5"/>
      <c r="K61" s="15" t="s">
        <v>28</v>
      </c>
      <c r="L61" s="21" t="s">
        <v>76</v>
      </c>
      <c r="M61" s="9" t="n">
        <v>0</v>
      </c>
      <c r="N61" s="9" t="n">
        <v>60</v>
      </c>
    </row>
    <row r="62" customFormat="false" ht="15" hidden="false" customHeight="true" outlineLevel="0" collapsed="false">
      <c r="A62" s="10" t="s">
        <v>111</v>
      </c>
      <c r="B62" s="10" t="s">
        <v>22</v>
      </c>
      <c r="C62" s="10" t="s">
        <v>23</v>
      </c>
      <c r="D62" s="10" t="s">
        <v>18</v>
      </c>
      <c r="E62" s="11" t="n">
        <v>45637</v>
      </c>
      <c r="F62" s="11" t="n">
        <v>45697</v>
      </c>
      <c r="G62" s="12" t="n">
        <v>40537.23</v>
      </c>
      <c r="H62" s="12" t="n">
        <v>0</v>
      </c>
      <c r="I62" s="12" t="n">
        <v>40537.23</v>
      </c>
      <c r="J62" s="11"/>
      <c r="K62" s="13" t="s">
        <v>24</v>
      </c>
      <c r="L62" s="8" t="s">
        <v>20</v>
      </c>
      <c r="M62" s="14" t="n">
        <v>50</v>
      </c>
      <c r="N62" s="14" t="n">
        <v>60</v>
      </c>
    </row>
    <row r="63" customFormat="false" ht="15" hidden="false" customHeight="true" outlineLevel="0" collapsed="false">
      <c r="A63" s="4" t="s">
        <v>112</v>
      </c>
      <c r="B63" s="4" t="s">
        <v>64</v>
      </c>
      <c r="C63" s="4" t="s">
        <v>65</v>
      </c>
      <c r="D63" s="4" t="s">
        <v>33</v>
      </c>
      <c r="E63" s="5" t="n">
        <v>45679</v>
      </c>
      <c r="F63" s="5" t="n">
        <v>45709</v>
      </c>
      <c r="G63" s="6" t="n">
        <v>787385.11</v>
      </c>
      <c r="H63" s="6" t="n">
        <v>0</v>
      </c>
      <c r="I63" s="6" t="n">
        <v>787385.11</v>
      </c>
      <c r="J63" s="5"/>
      <c r="K63" s="18" t="s">
        <v>50</v>
      </c>
      <c r="L63" s="17" t="s">
        <v>34</v>
      </c>
      <c r="M63" s="9" t="n">
        <v>38</v>
      </c>
      <c r="N63" s="9" t="n">
        <v>30</v>
      </c>
    </row>
    <row r="64" customFormat="false" ht="15" hidden="false" customHeight="true" outlineLevel="0" collapsed="false">
      <c r="A64" s="10" t="s">
        <v>113</v>
      </c>
      <c r="B64" s="10" t="s">
        <v>75</v>
      </c>
      <c r="C64" s="10" t="s">
        <v>44</v>
      </c>
      <c r="D64" s="10" t="s">
        <v>33</v>
      </c>
      <c r="E64" s="11" t="n">
        <v>45712</v>
      </c>
      <c r="F64" s="11" t="n">
        <v>45742</v>
      </c>
      <c r="G64" s="12" t="n">
        <v>1132822.46</v>
      </c>
      <c r="H64" s="12" t="n">
        <v>0</v>
      </c>
      <c r="I64" s="12" t="n">
        <v>1132822.46</v>
      </c>
      <c r="J64" s="11"/>
      <c r="K64" s="13" t="s">
        <v>24</v>
      </c>
      <c r="L64" s="21" t="s">
        <v>76</v>
      </c>
      <c r="M64" s="14" t="n">
        <v>5</v>
      </c>
      <c r="N64" s="14" t="n">
        <v>30</v>
      </c>
    </row>
    <row r="65" customFormat="false" ht="15" hidden="false" customHeight="true" outlineLevel="0" collapsed="false">
      <c r="A65" s="4" t="s">
        <v>114</v>
      </c>
      <c r="B65" s="4" t="s">
        <v>64</v>
      </c>
      <c r="C65" s="4" t="s">
        <v>65</v>
      </c>
      <c r="D65" s="4" t="s">
        <v>33</v>
      </c>
      <c r="E65" s="5" t="n">
        <v>45738</v>
      </c>
      <c r="F65" s="5" t="n">
        <v>45768</v>
      </c>
      <c r="G65" s="6" t="n">
        <v>1811728.93</v>
      </c>
      <c r="H65" s="6" t="n">
        <v>0</v>
      </c>
      <c r="I65" s="6" t="n">
        <v>1811728.93</v>
      </c>
      <c r="J65" s="5"/>
      <c r="K65" s="15" t="s">
        <v>28</v>
      </c>
      <c r="L65" s="16" t="s">
        <v>29</v>
      </c>
      <c r="M65" s="9" t="n">
        <v>0</v>
      </c>
      <c r="N65" s="9" t="n">
        <v>30</v>
      </c>
    </row>
    <row r="66" customFormat="false" ht="15" hidden="false" customHeight="true" outlineLevel="0" collapsed="false">
      <c r="A66" s="10" t="s">
        <v>115</v>
      </c>
      <c r="B66" s="10" t="s">
        <v>39</v>
      </c>
      <c r="C66" s="10" t="s">
        <v>40</v>
      </c>
      <c r="D66" s="10" t="s">
        <v>41</v>
      </c>
      <c r="E66" s="11" t="n">
        <v>45638</v>
      </c>
      <c r="F66" s="11" t="n">
        <v>45683</v>
      </c>
      <c r="G66" s="12" t="n">
        <v>423208.9</v>
      </c>
      <c r="H66" s="12" t="n">
        <v>423208.9</v>
      </c>
      <c r="I66" s="12" t="n">
        <v>0</v>
      </c>
      <c r="J66" s="11" t="n">
        <v>45690</v>
      </c>
      <c r="K66" s="19" t="s">
        <v>68</v>
      </c>
      <c r="L66" s="20" t="s">
        <v>68</v>
      </c>
      <c r="M66" s="14" t="n">
        <v>64</v>
      </c>
      <c r="N66" s="14" t="n">
        <v>45</v>
      </c>
    </row>
    <row r="67" customFormat="false" ht="15" hidden="false" customHeight="true" outlineLevel="0" collapsed="false">
      <c r="A67" s="4" t="s">
        <v>116</v>
      </c>
      <c r="B67" s="4" t="s">
        <v>60</v>
      </c>
      <c r="C67" s="4" t="s">
        <v>44</v>
      </c>
      <c r="D67" s="4" t="s">
        <v>33</v>
      </c>
      <c r="E67" s="5" t="n">
        <v>45678</v>
      </c>
      <c r="F67" s="5" t="n">
        <v>45708</v>
      </c>
      <c r="G67" s="6" t="n">
        <v>1478217.34</v>
      </c>
      <c r="H67" s="6" t="n">
        <v>0</v>
      </c>
      <c r="I67" s="6" t="n">
        <v>1478217.34</v>
      </c>
      <c r="J67" s="5"/>
      <c r="K67" s="13" t="s">
        <v>24</v>
      </c>
      <c r="L67" s="17" t="s">
        <v>34</v>
      </c>
      <c r="M67" s="9" t="n">
        <v>39</v>
      </c>
      <c r="N67" s="9" t="n">
        <v>30</v>
      </c>
    </row>
    <row r="68" customFormat="false" ht="15" hidden="false" customHeight="true" outlineLevel="0" collapsed="false">
      <c r="A68" s="10" t="s">
        <v>117</v>
      </c>
      <c r="B68" s="10" t="s">
        <v>31</v>
      </c>
      <c r="C68" s="10" t="s">
        <v>32</v>
      </c>
      <c r="D68" s="10" t="s">
        <v>33</v>
      </c>
      <c r="E68" s="11" t="n">
        <v>45639</v>
      </c>
      <c r="F68" s="11" t="n">
        <v>45669</v>
      </c>
      <c r="G68" s="12" t="n">
        <v>1889550.47</v>
      </c>
      <c r="H68" s="12" t="n">
        <v>0</v>
      </c>
      <c r="I68" s="12" t="n">
        <v>1889550.47</v>
      </c>
      <c r="J68" s="11"/>
      <c r="K68" s="13" t="s">
        <v>24</v>
      </c>
      <c r="L68" s="8" t="s">
        <v>20</v>
      </c>
      <c r="M68" s="14" t="n">
        <v>78</v>
      </c>
      <c r="N68" s="14" t="n">
        <v>30</v>
      </c>
    </row>
    <row r="69" customFormat="false" ht="15" hidden="false" customHeight="true" outlineLevel="0" collapsed="false">
      <c r="A69" s="4" t="s">
        <v>118</v>
      </c>
      <c r="B69" s="4" t="s">
        <v>75</v>
      </c>
      <c r="C69" s="4" t="s">
        <v>44</v>
      </c>
      <c r="D69" s="4" t="s">
        <v>33</v>
      </c>
      <c r="E69" s="5" t="n">
        <v>45686</v>
      </c>
      <c r="F69" s="5" t="n">
        <v>45716</v>
      </c>
      <c r="G69" s="6" t="n">
        <v>1109621.09</v>
      </c>
      <c r="H69" s="6" t="n">
        <v>0</v>
      </c>
      <c r="I69" s="6" t="n">
        <v>1109621.09</v>
      </c>
      <c r="J69" s="5"/>
      <c r="K69" s="13" t="s">
        <v>24</v>
      </c>
      <c r="L69" s="17" t="s">
        <v>34</v>
      </c>
      <c r="M69" s="9" t="n">
        <v>31</v>
      </c>
      <c r="N69" s="9" t="n">
        <v>30</v>
      </c>
    </row>
    <row r="70" customFormat="false" ht="15" hidden="false" customHeight="true" outlineLevel="0" collapsed="false">
      <c r="A70" s="10" t="s">
        <v>119</v>
      </c>
      <c r="B70" s="10" t="s">
        <v>57</v>
      </c>
      <c r="C70" s="10" t="s">
        <v>58</v>
      </c>
      <c r="D70" s="10" t="s">
        <v>18</v>
      </c>
      <c r="E70" s="11" t="n">
        <v>45740</v>
      </c>
      <c r="F70" s="11" t="n">
        <v>45800</v>
      </c>
      <c r="G70" s="12" t="n">
        <v>46093.63</v>
      </c>
      <c r="H70" s="12" t="n">
        <v>0</v>
      </c>
      <c r="I70" s="12" t="n">
        <v>46093.63</v>
      </c>
      <c r="J70" s="11"/>
      <c r="K70" s="15" t="s">
        <v>28</v>
      </c>
      <c r="L70" s="16" t="s">
        <v>29</v>
      </c>
      <c r="M70" s="14" t="n">
        <v>0</v>
      </c>
      <c r="N70" s="14" t="n">
        <v>60</v>
      </c>
    </row>
    <row r="71" customFormat="false" ht="15" hidden="false" customHeight="true" outlineLevel="0" collapsed="false">
      <c r="A71" s="4" t="s">
        <v>120</v>
      </c>
      <c r="B71" s="4" t="s">
        <v>75</v>
      </c>
      <c r="C71" s="4" t="s">
        <v>44</v>
      </c>
      <c r="D71" s="4" t="s">
        <v>33</v>
      </c>
      <c r="E71" s="5" t="n">
        <v>45698</v>
      </c>
      <c r="F71" s="5" t="n">
        <v>45728</v>
      </c>
      <c r="G71" s="6" t="n">
        <v>1068459.68</v>
      </c>
      <c r="H71" s="6" t="n">
        <v>0</v>
      </c>
      <c r="I71" s="6" t="n">
        <v>1068459.68</v>
      </c>
      <c r="J71" s="5"/>
      <c r="K71" s="13" t="s">
        <v>24</v>
      </c>
      <c r="L71" s="21" t="s">
        <v>76</v>
      </c>
      <c r="M71" s="9" t="n">
        <v>19</v>
      </c>
      <c r="N71" s="9" t="n">
        <v>30</v>
      </c>
    </row>
    <row r="72" customFormat="false" ht="15" hidden="false" customHeight="true" outlineLevel="0" collapsed="false">
      <c r="A72" s="10" t="s">
        <v>121</v>
      </c>
      <c r="B72" s="10" t="s">
        <v>54</v>
      </c>
      <c r="C72" s="10" t="s">
        <v>55</v>
      </c>
      <c r="D72" s="10" t="s">
        <v>18</v>
      </c>
      <c r="E72" s="11" t="n">
        <v>45689</v>
      </c>
      <c r="F72" s="11" t="n">
        <v>45749</v>
      </c>
      <c r="G72" s="12" t="n">
        <v>80566.35</v>
      </c>
      <c r="H72" s="12" t="n">
        <v>0</v>
      </c>
      <c r="I72" s="12" t="n">
        <v>80566.35</v>
      </c>
      <c r="J72" s="11"/>
      <c r="K72" s="15" t="s">
        <v>28</v>
      </c>
      <c r="L72" s="21" t="s">
        <v>76</v>
      </c>
      <c r="M72" s="14" t="n">
        <v>0</v>
      </c>
      <c r="N72" s="14" t="n">
        <v>60</v>
      </c>
    </row>
    <row r="73" customFormat="false" ht="15" hidden="false" customHeight="true" outlineLevel="0" collapsed="false">
      <c r="A73" s="4" t="s">
        <v>122</v>
      </c>
      <c r="B73" s="4" t="s">
        <v>97</v>
      </c>
      <c r="C73" s="4" t="s">
        <v>37</v>
      </c>
      <c r="D73" s="4" t="s">
        <v>41</v>
      </c>
      <c r="E73" s="5" t="n">
        <v>45654</v>
      </c>
      <c r="F73" s="5" t="n">
        <v>45699</v>
      </c>
      <c r="G73" s="6" t="n">
        <v>269202.99</v>
      </c>
      <c r="H73" s="6" t="n">
        <v>0</v>
      </c>
      <c r="I73" s="6" t="n">
        <v>269202.99</v>
      </c>
      <c r="J73" s="5"/>
      <c r="K73" s="18" t="s">
        <v>50</v>
      </c>
      <c r="L73" s="8" t="s">
        <v>20</v>
      </c>
      <c r="M73" s="9" t="n">
        <v>48</v>
      </c>
      <c r="N73" s="9" t="n">
        <v>45</v>
      </c>
    </row>
    <row r="74" customFormat="false" ht="15" hidden="false" customHeight="true" outlineLevel="0" collapsed="false">
      <c r="A74" s="10" t="s">
        <v>123</v>
      </c>
      <c r="B74" s="10" t="s">
        <v>75</v>
      </c>
      <c r="C74" s="10" t="s">
        <v>44</v>
      </c>
      <c r="D74" s="10" t="s">
        <v>33</v>
      </c>
      <c r="E74" s="11" t="n">
        <v>45720</v>
      </c>
      <c r="F74" s="11" t="n">
        <v>45750</v>
      </c>
      <c r="G74" s="12" t="n">
        <v>784846.8</v>
      </c>
      <c r="H74" s="12" t="n">
        <v>0</v>
      </c>
      <c r="I74" s="12" t="n">
        <v>784846.8</v>
      </c>
      <c r="J74" s="11"/>
      <c r="K74" s="15" t="s">
        <v>28</v>
      </c>
      <c r="L74" s="16" t="s">
        <v>29</v>
      </c>
      <c r="M74" s="14" t="n">
        <v>0</v>
      </c>
      <c r="N74" s="14" t="n">
        <v>30</v>
      </c>
    </row>
    <row r="75" customFormat="false" ht="15" hidden="false" customHeight="true" outlineLevel="0" collapsed="false">
      <c r="A75" s="4" t="s">
        <v>124</v>
      </c>
      <c r="B75" s="4" t="s">
        <v>60</v>
      </c>
      <c r="C75" s="4" t="s">
        <v>44</v>
      </c>
      <c r="D75" s="4" t="s">
        <v>33</v>
      </c>
      <c r="E75" s="5" t="n">
        <v>45678</v>
      </c>
      <c r="F75" s="5" t="n">
        <v>45708</v>
      </c>
      <c r="G75" s="6" t="n">
        <v>1368770.44</v>
      </c>
      <c r="H75" s="6" t="n">
        <v>0</v>
      </c>
      <c r="I75" s="6" t="n">
        <v>1368770.44</v>
      </c>
      <c r="J75" s="5"/>
      <c r="K75" s="13" t="s">
        <v>24</v>
      </c>
      <c r="L75" s="17" t="s">
        <v>34</v>
      </c>
      <c r="M75" s="9" t="n">
        <v>39</v>
      </c>
      <c r="N75" s="9" t="n">
        <v>30</v>
      </c>
    </row>
    <row r="76" customFormat="false" ht="15" hidden="false" customHeight="true" outlineLevel="0" collapsed="false">
      <c r="A76" s="10" t="s">
        <v>125</v>
      </c>
      <c r="B76" s="10" t="s">
        <v>22</v>
      </c>
      <c r="C76" s="10" t="s">
        <v>23</v>
      </c>
      <c r="D76" s="10" t="s">
        <v>18</v>
      </c>
      <c r="E76" s="11" t="n">
        <v>45741</v>
      </c>
      <c r="F76" s="11" t="n">
        <v>45801</v>
      </c>
      <c r="G76" s="12" t="n">
        <v>38224.43</v>
      </c>
      <c r="H76" s="12" t="n">
        <v>0</v>
      </c>
      <c r="I76" s="12" t="n">
        <v>38224.43</v>
      </c>
      <c r="J76" s="11"/>
      <c r="K76" s="15" t="s">
        <v>28</v>
      </c>
      <c r="L76" s="16" t="s">
        <v>29</v>
      </c>
      <c r="M76" s="14" t="n">
        <v>0</v>
      </c>
      <c r="N76" s="14" t="n">
        <v>60</v>
      </c>
    </row>
    <row r="77" customFormat="false" ht="15" hidden="false" customHeight="true" outlineLevel="0" collapsed="false">
      <c r="A77" s="4" t="s">
        <v>126</v>
      </c>
      <c r="B77" s="4" t="s">
        <v>26</v>
      </c>
      <c r="C77" s="4" t="s">
        <v>27</v>
      </c>
      <c r="D77" s="4" t="s">
        <v>18</v>
      </c>
      <c r="E77" s="5" t="n">
        <v>45630</v>
      </c>
      <c r="F77" s="5" t="n">
        <v>45690</v>
      </c>
      <c r="G77" s="6" t="n">
        <v>52910.97</v>
      </c>
      <c r="H77" s="6" t="n">
        <v>0</v>
      </c>
      <c r="I77" s="6" t="n">
        <v>52910.97</v>
      </c>
      <c r="J77" s="5"/>
      <c r="K77" s="13" t="s">
        <v>24</v>
      </c>
      <c r="L77" s="8" t="s">
        <v>20</v>
      </c>
      <c r="M77" s="9" t="n">
        <v>57</v>
      </c>
      <c r="N77" s="9" t="n">
        <v>60</v>
      </c>
    </row>
    <row r="78" customFormat="false" ht="15" hidden="false" customHeight="true" outlineLevel="0" collapsed="false">
      <c r="A78" s="10" t="s">
        <v>127</v>
      </c>
      <c r="B78" s="10" t="s">
        <v>60</v>
      </c>
      <c r="C78" s="10" t="s">
        <v>44</v>
      </c>
      <c r="D78" s="10" t="s">
        <v>33</v>
      </c>
      <c r="E78" s="11" t="n">
        <v>45737</v>
      </c>
      <c r="F78" s="11" t="n">
        <v>45767</v>
      </c>
      <c r="G78" s="12" t="n">
        <v>1941168.35</v>
      </c>
      <c r="H78" s="12" t="n">
        <v>0</v>
      </c>
      <c r="I78" s="12" t="n">
        <v>1941168.35</v>
      </c>
      <c r="J78" s="11"/>
      <c r="K78" s="15" t="s">
        <v>28</v>
      </c>
      <c r="L78" s="16" t="s">
        <v>29</v>
      </c>
      <c r="M78" s="14" t="n">
        <v>0</v>
      </c>
      <c r="N78" s="14" t="n">
        <v>30</v>
      </c>
    </row>
    <row r="79" customFormat="false" ht="15" hidden="false" customHeight="true" outlineLevel="0" collapsed="false">
      <c r="A79" s="4" t="s">
        <v>128</v>
      </c>
      <c r="B79" s="4" t="s">
        <v>57</v>
      </c>
      <c r="C79" s="4" t="s">
        <v>58</v>
      </c>
      <c r="D79" s="4" t="s">
        <v>18</v>
      </c>
      <c r="E79" s="5" t="n">
        <v>45671</v>
      </c>
      <c r="F79" s="5" t="n">
        <v>45731</v>
      </c>
      <c r="G79" s="6" t="n">
        <v>26724.25</v>
      </c>
      <c r="H79" s="6" t="n">
        <v>0</v>
      </c>
      <c r="I79" s="6" t="n">
        <v>26724.25</v>
      </c>
      <c r="J79" s="5"/>
      <c r="K79" s="15" t="s">
        <v>28</v>
      </c>
      <c r="L79" s="17" t="s">
        <v>34</v>
      </c>
      <c r="M79" s="9" t="n">
        <v>16</v>
      </c>
      <c r="N79" s="9" t="n">
        <v>60</v>
      </c>
    </row>
    <row r="80" customFormat="false" ht="15" hidden="false" customHeight="true" outlineLevel="0" collapsed="false">
      <c r="A80" s="10" t="s">
        <v>129</v>
      </c>
      <c r="B80" s="10" t="s">
        <v>16</v>
      </c>
      <c r="C80" s="10" t="s">
        <v>17</v>
      </c>
      <c r="D80" s="10" t="s">
        <v>18</v>
      </c>
      <c r="E80" s="11" t="n">
        <v>45696</v>
      </c>
      <c r="F80" s="11" t="n">
        <v>45756</v>
      </c>
      <c r="G80" s="12" t="n">
        <v>87563.73</v>
      </c>
      <c r="H80" s="12" t="n">
        <v>0</v>
      </c>
      <c r="I80" s="12" t="n">
        <v>87563.73</v>
      </c>
      <c r="J80" s="11"/>
      <c r="K80" s="15" t="s">
        <v>28</v>
      </c>
      <c r="L80" s="21" t="s">
        <v>76</v>
      </c>
      <c r="M80" s="14" t="n">
        <v>0</v>
      </c>
      <c r="N80" s="14" t="n">
        <v>60</v>
      </c>
    </row>
    <row r="81" customFormat="false" ht="15" hidden="false" customHeight="true" outlineLevel="0" collapsed="false">
      <c r="A81" s="4" t="s">
        <v>130</v>
      </c>
      <c r="B81" s="4" t="s">
        <v>31</v>
      </c>
      <c r="C81" s="4" t="s">
        <v>32</v>
      </c>
      <c r="D81" s="4" t="s">
        <v>33</v>
      </c>
      <c r="E81" s="5" t="n">
        <v>45675</v>
      </c>
      <c r="F81" s="5" t="n">
        <v>45705</v>
      </c>
      <c r="G81" s="6" t="n">
        <v>1912394.19</v>
      </c>
      <c r="H81" s="6" t="n">
        <v>0</v>
      </c>
      <c r="I81" s="6" t="n">
        <v>1912394.19</v>
      </c>
      <c r="J81" s="5"/>
      <c r="K81" s="13" t="s">
        <v>24</v>
      </c>
      <c r="L81" s="17" t="s">
        <v>34</v>
      </c>
      <c r="M81" s="9" t="n">
        <v>42</v>
      </c>
      <c r="N81" s="9" t="n">
        <v>30</v>
      </c>
    </row>
    <row r="82" customFormat="false" ht="15" hidden="false" customHeight="true" outlineLevel="0" collapsed="false">
      <c r="A82" s="10" t="s">
        <v>131</v>
      </c>
      <c r="B82" s="10" t="s">
        <v>26</v>
      </c>
      <c r="C82" s="10" t="s">
        <v>27</v>
      </c>
      <c r="D82" s="10" t="s">
        <v>18</v>
      </c>
      <c r="E82" s="11" t="n">
        <v>45668</v>
      </c>
      <c r="F82" s="11" t="n">
        <v>45728</v>
      </c>
      <c r="G82" s="12" t="n">
        <v>63506.72</v>
      </c>
      <c r="H82" s="12" t="n">
        <v>0</v>
      </c>
      <c r="I82" s="12" t="n">
        <v>63506.72</v>
      </c>
      <c r="J82" s="11"/>
      <c r="K82" s="15" t="s">
        <v>28</v>
      </c>
      <c r="L82" s="17" t="s">
        <v>34</v>
      </c>
      <c r="M82" s="14" t="n">
        <v>19</v>
      </c>
      <c r="N82" s="14" t="n">
        <v>60</v>
      </c>
    </row>
    <row r="83" customFormat="false" ht="15" hidden="false" customHeight="true" outlineLevel="0" collapsed="false">
      <c r="A83" s="4" t="s">
        <v>132</v>
      </c>
      <c r="B83" s="4" t="s">
        <v>49</v>
      </c>
      <c r="C83" s="4" t="s">
        <v>44</v>
      </c>
      <c r="D83" s="4" t="s">
        <v>41</v>
      </c>
      <c r="E83" s="5" t="n">
        <v>45675</v>
      </c>
      <c r="F83" s="5" t="n">
        <v>45720</v>
      </c>
      <c r="G83" s="6" t="n">
        <v>362949.27</v>
      </c>
      <c r="H83" s="6" t="n">
        <v>154815.26</v>
      </c>
      <c r="I83" s="6" t="n">
        <v>208134.01</v>
      </c>
      <c r="J83" s="5" t="n">
        <v>45716</v>
      </c>
      <c r="K83" s="7" t="s">
        <v>19</v>
      </c>
      <c r="L83" s="17" t="s">
        <v>34</v>
      </c>
      <c r="M83" s="9" t="n">
        <v>27</v>
      </c>
      <c r="N83" s="9" t="n">
        <v>45</v>
      </c>
    </row>
    <row r="84" customFormat="false" ht="15" hidden="false" customHeight="true" outlineLevel="0" collapsed="false">
      <c r="A84" s="10" t="s">
        <v>133</v>
      </c>
      <c r="B84" s="10" t="s">
        <v>64</v>
      </c>
      <c r="C84" s="10" t="s">
        <v>65</v>
      </c>
      <c r="D84" s="10" t="s">
        <v>33</v>
      </c>
      <c r="E84" s="11" t="n">
        <v>45707</v>
      </c>
      <c r="F84" s="11" t="n">
        <v>45737</v>
      </c>
      <c r="G84" s="12" t="n">
        <v>1504588.96</v>
      </c>
      <c r="H84" s="12" t="n">
        <v>0</v>
      </c>
      <c r="I84" s="12" t="n">
        <v>1504588.96</v>
      </c>
      <c r="J84" s="11"/>
      <c r="K84" s="15" t="s">
        <v>28</v>
      </c>
      <c r="L84" s="21" t="s">
        <v>76</v>
      </c>
      <c r="M84" s="14" t="n">
        <v>10</v>
      </c>
      <c r="N84" s="14" t="n">
        <v>30</v>
      </c>
    </row>
    <row r="85" customFormat="false" ht="15" hidden="false" customHeight="true" outlineLevel="0" collapsed="false">
      <c r="A85" s="4" t="s">
        <v>134</v>
      </c>
      <c r="B85" s="4" t="s">
        <v>97</v>
      </c>
      <c r="C85" s="4" t="s">
        <v>37</v>
      </c>
      <c r="D85" s="4" t="s">
        <v>41</v>
      </c>
      <c r="E85" s="5" t="n">
        <v>45662</v>
      </c>
      <c r="F85" s="5" t="n">
        <v>45707</v>
      </c>
      <c r="G85" s="6" t="n">
        <v>258314.34</v>
      </c>
      <c r="H85" s="6" t="n">
        <v>124737.37</v>
      </c>
      <c r="I85" s="6" t="n">
        <v>133576.97</v>
      </c>
      <c r="J85" s="5" t="n">
        <v>45706</v>
      </c>
      <c r="K85" s="7" t="s">
        <v>19</v>
      </c>
      <c r="L85" s="17" t="s">
        <v>34</v>
      </c>
      <c r="M85" s="9" t="n">
        <v>40</v>
      </c>
      <c r="N85" s="9" t="n">
        <v>45</v>
      </c>
    </row>
    <row r="86" customFormat="false" ht="15" hidden="false" customHeight="true" outlineLevel="0" collapsed="false">
      <c r="A86" s="10" t="s">
        <v>135</v>
      </c>
      <c r="B86" s="10" t="s">
        <v>60</v>
      </c>
      <c r="C86" s="10" t="s">
        <v>44</v>
      </c>
      <c r="D86" s="10" t="s">
        <v>33</v>
      </c>
      <c r="E86" s="11" t="n">
        <v>45675</v>
      </c>
      <c r="F86" s="11" t="n">
        <v>45705</v>
      </c>
      <c r="G86" s="12" t="n">
        <v>1187428.28</v>
      </c>
      <c r="H86" s="12" t="n">
        <v>0</v>
      </c>
      <c r="I86" s="12" t="n">
        <v>1187428.28</v>
      </c>
      <c r="J86" s="11"/>
      <c r="K86" s="13" t="s">
        <v>24</v>
      </c>
      <c r="L86" s="17" t="s">
        <v>34</v>
      </c>
      <c r="M86" s="14" t="n">
        <v>42</v>
      </c>
      <c r="N86" s="14" t="n">
        <v>30</v>
      </c>
    </row>
    <row r="87" customFormat="false" ht="15" hidden="false" customHeight="true" outlineLevel="0" collapsed="false">
      <c r="A87" s="4" t="s">
        <v>136</v>
      </c>
      <c r="B87" s="4" t="s">
        <v>31</v>
      </c>
      <c r="C87" s="4" t="s">
        <v>32</v>
      </c>
      <c r="D87" s="4" t="s">
        <v>33</v>
      </c>
      <c r="E87" s="5" t="n">
        <v>45683</v>
      </c>
      <c r="F87" s="5" t="n">
        <v>45713</v>
      </c>
      <c r="G87" s="6" t="n">
        <v>1306451.61</v>
      </c>
      <c r="H87" s="6" t="n">
        <v>461154.72</v>
      </c>
      <c r="I87" s="6" t="n">
        <v>845296.89</v>
      </c>
      <c r="J87" s="5" t="n">
        <v>45708</v>
      </c>
      <c r="K87" s="7" t="s">
        <v>19</v>
      </c>
      <c r="L87" s="17" t="s">
        <v>34</v>
      </c>
      <c r="M87" s="9" t="n">
        <v>34</v>
      </c>
      <c r="N87" s="9" t="n">
        <v>30</v>
      </c>
    </row>
    <row r="88" customFormat="false" ht="15" hidden="false" customHeight="true" outlineLevel="0" collapsed="false">
      <c r="A88" s="10" t="s">
        <v>137</v>
      </c>
      <c r="B88" s="10" t="s">
        <v>54</v>
      </c>
      <c r="C88" s="10" t="s">
        <v>55</v>
      </c>
      <c r="D88" s="10" t="s">
        <v>18</v>
      </c>
      <c r="E88" s="11" t="n">
        <v>45716</v>
      </c>
      <c r="F88" s="11" t="n">
        <v>45776</v>
      </c>
      <c r="G88" s="12" t="n">
        <v>16191.22</v>
      </c>
      <c r="H88" s="12" t="n">
        <v>0</v>
      </c>
      <c r="I88" s="12" t="n">
        <v>16191.22</v>
      </c>
      <c r="J88" s="11"/>
      <c r="K88" s="15" t="s">
        <v>28</v>
      </c>
      <c r="L88" s="21" t="s">
        <v>76</v>
      </c>
      <c r="M88" s="14" t="n">
        <v>0</v>
      </c>
      <c r="N88" s="14" t="n">
        <v>60</v>
      </c>
    </row>
    <row r="89" customFormat="false" ht="15" hidden="false" customHeight="true" outlineLevel="0" collapsed="false">
      <c r="A89" s="4" t="s">
        <v>138</v>
      </c>
      <c r="B89" s="4" t="s">
        <v>46</v>
      </c>
      <c r="C89" s="4" t="s">
        <v>27</v>
      </c>
      <c r="D89" s="4" t="s">
        <v>41</v>
      </c>
      <c r="E89" s="5" t="n">
        <v>45691</v>
      </c>
      <c r="F89" s="5" t="n">
        <v>45736</v>
      </c>
      <c r="G89" s="6" t="n">
        <v>213994.96</v>
      </c>
      <c r="H89" s="6" t="n">
        <v>124420.09</v>
      </c>
      <c r="I89" s="6" t="n">
        <v>89574.87</v>
      </c>
      <c r="J89" s="5" t="n">
        <v>45727</v>
      </c>
      <c r="K89" s="7" t="s">
        <v>19</v>
      </c>
      <c r="L89" s="21" t="s">
        <v>76</v>
      </c>
      <c r="M89" s="9" t="n">
        <v>11</v>
      </c>
      <c r="N89" s="9" t="n">
        <v>45</v>
      </c>
    </row>
    <row r="90" customFormat="false" ht="15" hidden="false" customHeight="true" outlineLevel="0" collapsed="false">
      <c r="A90" s="10" t="s">
        <v>139</v>
      </c>
      <c r="B90" s="10" t="s">
        <v>43</v>
      </c>
      <c r="C90" s="10" t="s">
        <v>44</v>
      </c>
      <c r="D90" s="10" t="s">
        <v>18</v>
      </c>
      <c r="E90" s="11" t="n">
        <v>45746</v>
      </c>
      <c r="F90" s="11" t="n">
        <v>45806</v>
      </c>
      <c r="G90" s="12" t="n">
        <v>68857.87</v>
      </c>
      <c r="H90" s="12" t="n">
        <v>0</v>
      </c>
      <c r="I90" s="12" t="n">
        <v>68857.87</v>
      </c>
      <c r="J90" s="11"/>
      <c r="K90" s="15" t="s">
        <v>28</v>
      </c>
      <c r="L90" s="16" t="s">
        <v>29</v>
      </c>
      <c r="M90" s="14" t="n">
        <v>0</v>
      </c>
      <c r="N90" s="14" t="n">
        <v>60</v>
      </c>
    </row>
    <row r="91" customFormat="false" ht="15" hidden="false" customHeight="true" outlineLevel="0" collapsed="false">
      <c r="A91" s="4" t="s">
        <v>140</v>
      </c>
      <c r="B91" s="4" t="s">
        <v>16</v>
      </c>
      <c r="C91" s="4" t="s">
        <v>17</v>
      </c>
      <c r="D91" s="4" t="s">
        <v>18</v>
      </c>
      <c r="E91" s="5" t="n">
        <v>45709</v>
      </c>
      <c r="F91" s="5" t="n">
        <v>45769</v>
      </c>
      <c r="G91" s="6" t="n">
        <v>83539.37</v>
      </c>
      <c r="H91" s="6" t="n">
        <v>0</v>
      </c>
      <c r="I91" s="6" t="n">
        <v>83539.37</v>
      </c>
      <c r="J91" s="5"/>
      <c r="K91" s="15" t="s">
        <v>28</v>
      </c>
      <c r="L91" s="21" t="s">
        <v>76</v>
      </c>
      <c r="M91" s="9" t="n">
        <v>0</v>
      </c>
      <c r="N91" s="9" t="n">
        <v>60</v>
      </c>
    </row>
    <row r="92" customFormat="false" ht="15" hidden="false" customHeight="true" outlineLevel="0" collapsed="false">
      <c r="A92" s="10" t="s">
        <v>141</v>
      </c>
      <c r="B92" s="10" t="s">
        <v>54</v>
      </c>
      <c r="C92" s="10" t="s">
        <v>55</v>
      </c>
      <c r="D92" s="10" t="s">
        <v>18</v>
      </c>
      <c r="E92" s="11" t="n">
        <v>45627</v>
      </c>
      <c r="F92" s="11" t="n">
        <v>45687</v>
      </c>
      <c r="G92" s="12" t="n">
        <v>69704.98</v>
      </c>
      <c r="H92" s="12" t="n">
        <v>0</v>
      </c>
      <c r="I92" s="12" t="n">
        <v>69704.98</v>
      </c>
      <c r="J92" s="11"/>
      <c r="K92" s="13" t="s">
        <v>24</v>
      </c>
      <c r="L92" s="8" t="s">
        <v>20</v>
      </c>
      <c r="M92" s="14" t="n">
        <v>60</v>
      </c>
      <c r="N92" s="14" t="n">
        <v>60</v>
      </c>
    </row>
    <row r="93" customFormat="false" ht="15" hidden="false" customHeight="true" outlineLevel="0" collapsed="false">
      <c r="A93" s="4" t="s">
        <v>142</v>
      </c>
      <c r="B93" s="4" t="s">
        <v>97</v>
      </c>
      <c r="C93" s="4" t="s">
        <v>37</v>
      </c>
      <c r="D93" s="4" t="s">
        <v>41</v>
      </c>
      <c r="E93" s="5" t="n">
        <v>45734</v>
      </c>
      <c r="F93" s="5" t="n">
        <v>45779</v>
      </c>
      <c r="G93" s="6" t="n">
        <v>146171.47</v>
      </c>
      <c r="H93" s="6" t="n">
        <v>0</v>
      </c>
      <c r="I93" s="6" t="n">
        <v>146171.47</v>
      </c>
      <c r="J93" s="5"/>
      <c r="K93" s="15" t="s">
        <v>28</v>
      </c>
      <c r="L93" s="16" t="s">
        <v>29</v>
      </c>
      <c r="M93" s="9" t="n">
        <v>0</v>
      </c>
      <c r="N93" s="9" t="n">
        <v>45</v>
      </c>
    </row>
    <row r="94" customFormat="false" ht="15" hidden="false" customHeight="true" outlineLevel="0" collapsed="false">
      <c r="A94" s="10" t="s">
        <v>143</v>
      </c>
      <c r="B94" s="10" t="s">
        <v>22</v>
      </c>
      <c r="C94" s="10" t="s">
        <v>23</v>
      </c>
      <c r="D94" s="10" t="s">
        <v>18</v>
      </c>
      <c r="E94" s="11" t="n">
        <v>45713</v>
      </c>
      <c r="F94" s="11" t="n">
        <v>45773</v>
      </c>
      <c r="G94" s="12" t="n">
        <v>59790.13</v>
      </c>
      <c r="H94" s="12" t="n">
        <v>0</v>
      </c>
      <c r="I94" s="12" t="n">
        <v>59790.13</v>
      </c>
      <c r="J94" s="11"/>
      <c r="K94" s="15" t="s">
        <v>28</v>
      </c>
      <c r="L94" s="21" t="s">
        <v>76</v>
      </c>
      <c r="M94" s="14" t="n">
        <v>0</v>
      </c>
      <c r="N94" s="14" t="n">
        <v>60</v>
      </c>
    </row>
    <row r="95" customFormat="false" ht="15" hidden="false" customHeight="true" outlineLevel="0" collapsed="false">
      <c r="A95" s="4" t="s">
        <v>144</v>
      </c>
      <c r="B95" s="4" t="s">
        <v>97</v>
      </c>
      <c r="C95" s="4" t="s">
        <v>37</v>
      </c>
      <c r="D95" s="4" t="s">
        <v>41</v>
      </c>
      <c r="E95" s="5" t="n">
        <v>45656</v>
      </c>
      <c r="F95" s="5" t="n">
        <v>45701</v>
      </c>
      <c r="G95" s="6" t="n">
        <v>341931.93</v>
      </c>
      <c r="H95" s="6" t="n">
        <v>130426.15</v>
      </c>
      <c r="I95" s="6" t="n">
        <v>211505.78</v>
      </c>
      <c r="J95" s="5" t="n">
        <v>45691</v>
      </c>
      <c r="K95" s="7" t="s">
        <v>19</v>
      </c>
      <c r="L95" s="8" t="s">
        <v>20</v>
      </c>
      <c r="M95" s="9" t="n">
        <v>46</v>
      </c>
      <c r="N95" s="9" t="n">
        <v>45</v>
      </c>
    </row>
    <row r="96" customFormat="false" ht="15" hidden="false" customHeight="true" outlineLevel="0" collapsed="false">
      <c r="A96" s="10" t="s">
        <v>145</v>
      </c>
      <c r="B96" s="10" t="s">
        <v>57</v>
      </c>
      <c r="C96" s="10" t="s">
        <v>58</v>
      </c>
      <c r="D96" s="10" t="s">
        <v>18</v>
      </c>
      <c r="E96" s="11" t="n">
        <v>45685</v>
      </c>
      <c r="F96" s="11" t="n">
        <v>45745</v>
      </c>
      <c r="G96" s="12" t="n">
        <v>33758.55</v>
      </c>
      <c r="H96" s="12" t="n">
        <v>0</v>
      </c>
      <c r="I96" s="12" t="n">
        <v>33758.55</v>
      </c>
      <c r="J96" s="11"/>
      <c r="K96" s="13" t="s">
        <v>24</v>
      </c>
      <c r="L96" s="17" t="s">
        <v>34</v>
      </c>
      <c r="M96" s="14" t="n">
        <v>2</v>
      </c>
      <c r="N96" s="14" t="n">
        <v>60</v>
      </c>
    </row>
    <row r="97" customFormat="false" ht="15" hidden="false" customHeight="true" outlineLevel="0" collapsed="false">
      <c r="A97" s="4" t="s">
        <v>146</v>
      </c>
      <c r="B97" s="4" t="s">
        <v>54</v>
      </c>
      <c r="C97" s="4" t="s">
        <v>55</v>
      </c>
      <c r="D97" s="4" t="s">
        <v>18</v>
      </c>
      <c r="E97" s="5" t="n">
        <v>45741</v>
      </c>
      <c r="F97" s="5" t="n">
        <v>45801</v>
      </c>
      <c r="G97" s="6" t="n">
        <v>91734.31</v>
      </c>
      <c r="H97" s="6" t="n">
        <v>0</v>
      </c>
      <c r="I97" s="6" t="n">
        <v>91734.31</v>
      </c>
      <c r="J97" s="5"/>
      <c r="K97" s="15" t="s">
        <v>28</v>
      </c>
      <c r="L97" s="16" t="s">
        <v>29</v>
      </c>
      <c r="M97" s="9" t="n">
        <v>0</v>
      </c>
      <c r="N97" s="9" t="n">
        <v>60</v>
      </c>
    </row>
    <row r="98" customFormat="false" ht="15" hidden="false" customHeight="true" outlineLevel="0" collapsed="false">
      <c r="A98" s="10" t="s">
        <v>147</v>
      </c>
      <c r="B98" s="10" t="s">
        <v>31</v>
      </c>
      <c r="C98" s="10" t="s">
        <v>32</v>
      </c>
      <c r="D98" s="10" t="s">
        <v>33</v>
      </c>
      <c r="E98" s="11" t="n">
        <v>45641</v>
      </c>
      <c r="F98" s="11" t="n">
        <v>45671</v>
      </c>
      <c r="G98" s="12" t="n">
        <v>1451426.67</v>
      </c>
      <c r="H98" s="12" t="n">
        <v>0</v>
      </c>
      <c r="I98" s="12" t="n">
        <v>1451426.67</v>
      </c>
      <c r="J98" s="11"/>
      <c r="K98" s="18" t="s">
        <v>50</v>
      </c>
      <c r="L98" s="8" t="s">
        <v>20</v>
      </c>
      <c r="M98" s="14" t="n">
        <v>76</v>
      </c>
      <c r="N98" s="14" t="n">
        <v>30</v>
      </c>
    </row>
    <row r="99" customFormat="false" ht="15" hidden="false" customHeight="true" outlineLevel="0" collapsed="false">
      <c r="A99" s="4" t="s">
        <v>148</v>
      </c>
      <c r="B99" s="4" t="s">
        <v>60</v>
      </c>
      <c r="C99" s="4" t="s">
        <v>44</v>
      </c>
      <c r="D99" s="4" t="s">
        <v>33</v>
      </c>
      <c r="E99" s="5" t="n">
        <v>45649</v>
      </c>
      <c r="F99" s="5" t="n">
        <v>45679</v>
      </c>
      <c r="G99" s="6" t="n">
        <v>505318.53</v>
      </c>
      <c r="H99" s="6" t="n">
        <v>0</v>
      </c>
      <c r="I99" s="6" t="n">
        <v>505318.53</v>
      </c>
      <c r="J99" s="5"/>
      <c r="K99" s="13" t="s">
        <v>24</v>
      </c>
      <c r="L99" s="8" t="s">
        <v>20</v>
      </c>
      <c r="M99" s="9" t="n">
        <v>68</v>
      </c>
      <c r="N99" s="9" t="n">
        <v>30</v>
      </c>
    </row>
    <row r="100" customFormat="false" ht="15" hidden="false" customHeight="true" outlineLevel="0" collapsed="false">
      <c r="A100" s="10" t="s">
        <v>149</v>
      </c>
      <c r="B100" s="10" t="s">
        <v>16</v>
      </c>
      <c r="C100" s="10" t="s">
        <v>17</v>
      </c>
      <c r="D100" s="10" t="s">
        <v>18</v>
      </c>
      <c r="E100" s="11" t="n">
        <v>45727</v>
      </c>
      <c r="F100" s="11" t="n">
        <v>45787</v>
      </c>
      <c r="G100" s="12" t="n">
        <v>98181.82</v>
      </c>
      <c r="H100" s="12" t="n">
        <v>0</v>
      </c>
      <c r="I100" s="12" t="n">
        <v>98181.82</v>
      </c>
      <c r="J100" s="11"/>
      <c r="K100" s="15" t="s">
        <v>28</v>
      </c>
      <c r="L100" s="16" t="s">
        <v>29</v>
      </c>
      <c r="M100" s="14" t="n">
        <v>0</v>
      </c>
      <c r="N100" s="14" t="n">
        <v>60</v>
      </c>
    </row>
    <row r="101" customFormat="false" ht="15" hidden="false" customHeight="true" outlineLevel="0" collapsed="false">
      <c r="A101" s="4" t="s">
        <v>150</v>
      </c>
      <c r="B101" s="4" t="s">
        <v>22</v>
      </c>
      <c r="C101" s="4" t="s">
        <v>23</v>
      </c>
      <c r="D101" s="4" t="s">
        <v>18</v>
      </c>
      <c r="E101" s="5" t="n">
        <v>45657</v>
      </c>
      <c r="F101" s="5" t="n">
        <v>45717</v>
      </c>
      <c r="G101" s="6" t="n">
        <v>49765.2</v>
      </c>
      <c r="H101" s="6" t="n">
        <v>0</v>
      </c>
      <c r="I101" s="6" t="n">
        <v>49765.2</v>
      </c>
      <c r="J101" s="5"/>
      <c r="K101" s="13" t="s">
        <v>24</v>
      </c>
      <c r="L101" s="17" t="s">
        <v>34</v>
      </c>
      <c r="M101" s="9" t="n">
        <v>30</v>
      </c>
      <c r="N101" s="9" t="n">
        <v>60</v>
      </c>
    </row>
    <row r="102" customFormat="false" ht="15" hidden="false" customHeight="true" outlineLevel="0" collapsed="false">
      <c r="A102" s="10" t="s">
        <v>151</v>
      </c>
      <c r="B102" s="10" t="s">
        <v>36</v>
      </c>
      <c r="C102" s="10" t="s">
        <v>37</v>
      </c>
      <c r="D102" s="10" t="s">
        <v>18</v>
      </c>
      <c r="E102" s="11" t="n">
        <v>45738</v>
      </c>
      <c r="F102" s="11" t="n">
        <v>45798</v>
      </c>
      <c r="G102" s="12" t="n">
        <v>10870.27</v>
      </c>
      <c r="H102" s="12" t="n">
        <v>0</v>
      </c>
      <c r="I102" s="12" t="n">
        <v>10870.27</v>
      </c>
      <c r="J102" s="11"/>
      <c r="K102" s="15" t="s">
        <v>28</v>
      </c>
      <c r="L102" s="16" t="s">
        <v>29</v>
      </c>
      <c r="M102" s="14" t="n">
        <v>0</v>
      </c>
      <c r="N102" s="14" t="n">
        <v>60</v>
      </c>
    </row>
    <row r="103" customFormat="false" ht="15" hidden="false" customHeight="true" outlineLevel="0" collapsed="false">
      <c r="A103" s="4" t="s">
        <v>152</v>
      </c>
      <c r="B103" s="4" t="s">
        <v>54</v>
      </c>
      <c r="C103" s="4" t="s">
        <v>55</v>
      </c>
      <c r="D103" s="4" t="s">
        <v>18</v>
      </c>
      <c r="E103" s="5" t="n">
        <v>45728</v>
      </c>
      <c r="F103" s="5" t="n">
        <v>45788</v>
      </c>
      <c r="G103" s="6" t="n">
        <v>72191.77</v>
      </c>
      <c r="H103" s="6" t="n">
        <v>0</v>
      </c>
      <c r="I103" s="6" t="n">
        <v>72191.77</v>
      </c>
      <c r="J103" s="5"/>
      <c r="K103" s="15" t="s">
        <v>28</v>
      </c>
      <c r="L103" s="16" t="s">
        <v>29</v>
      </c>
      <c r="M103" s="9" t="n">
        <v>0</v>
      </c>
      <c r="N103" s="9" t="n">
        <v>60</v>
      </c>
    </row>
    <row r="104" customFormat="false" ht="15" hidden="false" customHeight="true" outlineLevel="0" collapsed="false">
      <c r="A104" s="10" t="s">
        <v>153</v>
      </c>
      <c r="B104" s="10" t="s">
        <v>36</v>
      </c>
      <c r="C104" s="10" t="s">
        <v>37</v>
      </c>
      <c r="D104" s="10" t="s">
        <v>18</v>
      </c>
      <c r="E104" s="11" t="n">
        <v>45700</v>
      </c>
      <c r="F104" s="11" t="n">
        <v>45760</v>
      </c>
      <c r="G104" s="12" t="n">
        <v>13242.53</v>
      </c>
      <c r="H104" s="12" t="n">
        <v>0</v>
      </c>
      <c r="I104" s="12" t="n">
        <v>13242.53</v>
      </c>
      <c r="J104" s="11"/>
      <c r="K104" s="15" t="s">
        <v>28</v>
      </c>
      <c r="L104" s="21" t="s">
        <v>76</v>
      </c>
      <c r="M104" s="14" t="n">
        <v>0</v>
      </c>
      <c r="N104" s="14" t="n">
        <v>60</v>
      </c>
    </row>
    <row r="105" customFormat="false" ht="15" hidden="false" customHeight="true" outlineLevel="0" collapsed="false">
      <c r="A105" s="4" t="s">
        <v>154</v>
      </c>
      <c r="B105" s="4" t="s">
        <v>26</v>
      </c>
      <c r="C105" s="4" t="s">
        <v>27</v>
      </c>
      <c r="D105" s="4" t="s">
        <v>18</v>
      </c>
      <c r="E105" s="5" t="n">
        <v>45692</v>
      </c>
      <c r="F105" s="5" t="n">
        <v>45752</v>
      </c>
      <c r="G105" s="6" t="n">
        <v>59727.26</v>
      </c>
      <c r="H105" s="6" t="n">
        <v>0</v>
      </c>
      <c r="I105" s="6" t="n">
        <v>59727.26</v>
      </c>
      <c r="J105" s="5"/>
      <c r="K105" s="15" t="s">
        <v>28</v>
      </c>
      <c r="L105" s="21" t="s">
        <v>76</v>
      </c>
      <c r="M105" s="9" t="n">
        <v>0</v>
      </c>
      <c r="N105" s="9" t="n">
        <v>60</v>
      </c>
    </row>
    <row r="106" customFormat="false" ht="15" hidden="false" customHeight="true" outlineLevel="0" collapsed="false">
      <c r="A106" s="10" t="s">
        <v>155</v>
      </c>
      <c r="B106" s="10" t="s">
        <v>75</v>
      </c>
      <c r="C106" s="10" t="s">
        <v>44</v>
      </c>
      <c r="D106" s="10" t="s">
        <v>33</v>
      </c>
      <c r="E106" s="11" t="n">
        <v>45701</v>
      </c>
      <c r="F106" s="11" t="n">
        <v>45731</v>
      </c>
      <c r="G106" s="12" t="n">
        <v>562743.29</v>
      </c>
      <c r="H106" s="12" t="n">
        <v>0</v>
      </c>
      <c r="I106" s="12" t="n">
        <v>562743.29</v>
      </c>
      <c r="J106" s="11"/>
      <c r="K106" s="15" t="s">
        <v>28</v>
      </c>
      <c r="L106" s="21" t="s">
        <v>76</v>
      </c>
      <c r="M106" s="14" t="n">
        <v>16</v>
      </c>
      <c r="N106" s="14" t="n">
        <v>30</v>
      </c>
    </row>
    <row r="107" customFormat="false" ht="15" hidden="false" customHeight="true" outlineLevel="0" collapsed="false">
      <c r="A107" s="4" t="s">
        <v>156</v>
      </c>
      <c r="B107" s="4" t="s">
        <v>54</v>
      </c>
      <c r="C107" s="4" t="s">
        <v>55</v>
      </c>
      <c r="D107" s="4" t="s">
        <v>18</v>
      </c>
      <c r="E107" s="5" t="n">
        <v>45660</v>
      </c>
      <c r="F107" s="5" t="n">
        <v>45720</v>
      </c>
      <c r="G107" s="6" t="n">
        <v>42202.83</v>
      </c>
      <c r="H107" s="6" t="n">
        <v>0</v>
      </c>
      <c r="I107" s="6" t="n">
        <v>42202.83</v>
      </c>
      <c r="J107" s="5"/>
      <c r="K107" s="15" t="s">
        <v>28</v>
      </c>
      <c r="L107" s="17" t="s">
        <v>34</v>
      </c>
      <c r="M107" s="9" t="n">
        <v>27</v>
      </c>
      <c r="N107" s="9" t="n">
        <v>60</v>
      </c>
    </row>
    <row r="108" customFormat="false" ht="15" hidden="false" customHeight="true" outlineLevel="0" collapsed="false">
      <c r="A108" s="10" t="s">
        <v>157</v>
      </c>
      <c r="B108" s="10" t="s">
        <v>16</v>
      </c>
      <c r="C108" s="10" t="s">
        <v>17</v>
      </c>
      <c r="D108" s="10" t="s">
        <v>18</v>
      </c>
      <c r="E108" s="11" t="n">
        <v>45648</v>
      </c>
      <c r="F108" s="11" t="n">
        <v>45708</v>
      </c>
      <c r="G108" s="12" t="n">
        <v>19251.43</v>
      </c>
      <c r="H108" s="12" t="n">
        <v>0</v>
      </c>
      <c r="I108" s="12" t="n">
        <v>19251.43</v>
      </c>
      <c r="J108" s="11"/>
      <c r="K108" s="18" t="s">
        <v>50</v>
      </c>
      <c r="L108" s="8" t="s">
        <v>20</v>
      </c>
      <c r="M108" s="14" t="n">
        <v>39</v>
      </c>
      <c r="N108" s="14" t="n">
        <v>60</v>
      </c>
    </row>
    <row r="109" customFormat="false" ht="15" hidden="false" customHeight="true" outlineLevel="0" collapsed="false">
      <c r="A109" s="4" t="s">
        <v>158</v>
      </c>
      <c r="B109" s="4" t="s">
        <v>26</v>
      </c>
      <c r="C109" s="4" t="s">
        <v>27</v>
      </c>
      <c r="D109" s="4" t="s">
        <v>18</v>
      </c>
      <c r="E109" s="5" t="n">
        <v>45629</v>
      </c>
      <c r="F109" s="5" t="n">
        <v>45689</v>
      </c>
      <c r="G109" s="6" t="n">
        <v>77452.99</v>
      </c>
      <c r="H109" s="6" t="n">
        <v>0</v>
      </c>
      <c r="I109" s="6" t="n">
        <v>77452.99</v>
      </c>
      <c r="J109" s="5"/>
      <c r="K109" s="13" t="s">
        <v>24</v>
      </c>
      <c r="L109" s="8" t="s">
        <v>20</v>
      </c>
      <c r="M109" s="9" t="n">
        <v>58</v>
      </c>
      <c r="N109" s="9" t="n">
        <v>60</v>
      </c>
    </row>
    <row r="110" customFormat="false" ht="15" hidden="false" customHeight="true" outlineLevel="0" collapsed="false">
      <c r="A110" s="10" t="s">
        <v>159</v>
      </c>
      <c r="B110" s="10" t="s">
        <v>57</v>
      </c>
      <c r="C110" s="10" t="s">
        <v>58</v>
      </c>
      <c r="D110" s="10" t="s">
        <v>18</v>
      </c>
      <c r="E110" s="11" t="n">
        <v>45645</v>
      </c>
      <c r="F110" s="11" t="n">
        <v>45705</v>
      </c>
      <c r="G110" s="12" t="n">
        <v>24625.16</v>
      </c>
      <c r="H110" s="12" t="n">
        <v>0</v>
      </c>
      <c r="I110" s="12" t="n">
        <v>24625.16</v>
      </c>
      <c r="J110" s="11"/>
      <c r="K110" s="13" t="s">
        <v>24</v>
      </c>
      <c r="L110" s="8" t="s">
        <v>20</v>
      </c>
      <c r="M110" s="14" t="n">
        <v>42</v>
      </c>
      <c r="N110" s="14" t="n">
        <v>60</v>
      </c>
    </row>
    <row r="111" customFormat="false" ht="15" hidden="false" customHeight="true" outlineLevel="0" collapsed="false">
      <c r="A111" s="4" t="s">
        <v>160</v>
      </c>
      <c r="B111" s="4" t="s">
        <v>54</v>
      </c>
      <c r="C111" s="4" t="s">
        <v>55</v>
      </c>
      <c r="D111" s="4" t="s">
        <v>18</v>
      </c>
      <c r="E111" s="5" t="n">
        <v>45725</v>
      </c>
      <c r="F111" s="5" t="n">
        <v>45785</v>
      </c>
      <c r="G111" s="6" t="n">
        <v>47106.5</v>
      </c>
      <c r="H111" s="6" t="n">
        <v>0</v>
      </c>
      <c r="I111" s="6" t="n">
        <v>47106.5</v>
      </c>
      <c r="J111" s="5"/>
      <c r="K111" s="15" t="s">
        <v>28</v>
      </c>
      <c r="L111" s="16" t="s">
        <v>29</v>
      </c>
      <c r="M111" s="9" t="n">
        <v>0</v>
      </c>
      <c r="N111" s="9" t="n">
        <v>60</v>
      </c>
    </row>
    <row r="112" customFormat="false" ht="15" hidden="false" customHeight="true" outlineLevel="0" collapsed="false">
      <c r="A112" s="10" t="s">
        <v>161</v>
      </c>
      <c r="B112" s="10" t="s">
        <v>22</v>
      </c>
      <c r="C112" s="10" t="s">
        <v>23</v>
      </c>
      <c r="D112" s="10" t="s">
        <v>18</v>
      </c>
      <c r="E112" s="11" t="n">
        <v>45647</v>
      </c>
      <c r="F112" s="11" t="n">
        <v>45707</v>
      </c>
      <c r="G112" s="12" t="n">
        <v>93203.86</v>
      </c>
      <c r="H112" s="12" t="n">
        <v>0</v>
      </c>
      <c r="I112" s="12" t="n">
        <v>93203.86</v>
      </c>
      <c r="J112" s="11"/>
      <c r="K112" s="18" t="s">
        <v>50</v>
      </c>
      <c r="L112" s="8" t="s">
        <v>20</v>
      </c>
      <c r="M112" s="14" t="n">
        <v>40</v>
      </c>
      <c r="N112" s="14" t="n">
        <v>60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  <col collapsed="false" customWidth="true" hidden="false" outlineLevel="0" max="8" min="3" style="1" width="16"/>
  </cols>
  <sheetData>
    <row r="1" customFormat="false" ht="25.5" hidden="false" customHeight="true" outlineLevel="0" collapsed="false">
      <c r="A1" s="22" t="s">
        <v>162</v>
      </c>
      <c r="B1" s="22"/>
      <c r="C1" s="22"/>
      <c r="D1" s="22"/>
      <c r="E1" s="22"/>
      <c r="F1" s="22"/>
      <c r="G1" s="22"/>
      <c r="H1" s="22"/>
    </row>
    <row r="3" customFormat="false" ht="27.75" hidden="false" customHeight="true" outlineLevel="0" collapsed="false">
      <c r="A3" s="23" t="s">
        <v>2</v>
      </c>
      <c r="B3" s="23" t="s">
        <v>4</v>
      </c>
      <c r="C3" s="23" t="s">
        <v>163</v>
      </c>
      <c r="D3" s="23" t="s">
        <v>164</v>
      </c>
      <c r="E3" s="23" t="s">
        <v>165</v>
      </c>
      <c r="F3" s="23" t="s">
        <v>166</v>
      </c>
      <c r="G3" s="23" t="s">
        <v>167</v>
      </c>
      <c r="H3" s="23" t="s">
        <v>168</v>
      </c>
    </row>
    <row r="4" customFormat="false" ht="15" hidden="false" customHeight="true" outlineLevel="0" collapsed="false">
      <c r="A4" s="10" t="s">
        <v>31</v>
      </c>
      <c r="B4" s="20" t="s">
        <v>33</v>
      </c>
      <c r="C4" s="24" t="n">
        <v>940250.19</v>
      </c>
      <c r="D4" s="24" t="n">
        <v>643033.72</v>
      </c>
      <c r="E4" s="24" t="n">
        <v>4592776.38</v>
      </c>
      <c r="F4" s="24" t="n">
        <v>10473593.05</v>
      </c>
      <c r="G4" s="24" t="n">
        <v>16649653.34</v>
      </c>
      <c r="H4" s="25" t="n">
        <f aca="false">G4/G19</f>
        <v>0.354081497753166</v>
      </c>
    </row>
    <row r="5" customFormat="false" ht="15" hidden="false" customHeight="true" outlineLevel="0" collapsed="false">
      <c r="A5" s="4" t="s">
        <v>64</v>
      </c>
      <c r="B5" s="26" t="s">
        <v>33</v>
      </c>
      <c r="C5" s="27" t="n">
        <v>1811728.93</v>
      </c>
      <c r="D5" s="27" t="n">
        <v>1504588.96</v>
      </c>
      <c r="E5" s="27" t="n">
        <v>2934136.56</v>
      </c>
      <c r="F5" s="27" t="n">
        <v>3259625.27</v>
      </c>
      <c r="G5" s="27" t="n">
        <v>9510079.72</v>
      </c>
      <c r="H5" s="28" t="n">
        <f aca="false">G5/G19</f>
        <v>0.202247049968285</v>
      </c>
    </row>
    <row r="6" customFormat="false" ht="15" hidden="false" customHeight="true" outlineLevel="0" collapsed="false">
      <c r="A6" s="10" t="s">
        <v>60</v>
      </c>
      <c r="B6" s="20" t="s">
        <v>33</v>
      </c>
      <c r="C6" s="24" t="n">
        <v>1941168.35</v>
      </c>
      <c r="D6" s="24" t="n">
        <v>0</v>
      </c>
      <c r="E6" s="24" t="n">
        <v>4034416.06</v>
      </c>
      <c r="F6" s="24" t="n">
        <v>1997213.51</v>
      </c>
      <c r="G6" s="24" t="n">
        <v>7972797.92</v>
      </c>
      <c r="H6" s="25" t="n">
        <f aca="false">G6/G19</f>
        <v>0.169554294684007</v>
      </c>
    </row>
    <row r="7" customFormat="false" ht="15" hidden="false" customHeight="true" outlineLevel="0" collapsed="false">
      <c r="A7" s="4" t="s">
        <v>75</v>
      </c>
      <c r="B7" s="26" t="s">
        <v>33</v>
      </c>
      <c r="C7" s="27" t="n">
        <v>784846.8</v>
      </c>
      <c r="D7" s="27" t="n">
        <v>3190658.81</v>
      </c>
      <c r="E7" s="27" t="n">
        <v>2599247.32</v>
      </c>
      <c r="F7" s="27" t="n">
        <v>0</v>
      </c>
      <c r="G7" s="27" t="n">
        <v>6574752.93</v>
      </c>
      <c r="H7" s="28" t="n">
        <f aca="false">G7/G19</f>
        <v>0.139822632776294</v>
      </c>
    </row>
    <row r="8" customFormat="false" ht="15" hidden="false" customHeight="true" outlineLevel="0" collapsed="false">
      <c r="A8" s="10" t="s">
        <v>49</v>
      </c>
      <c r="B8" s="20" t="s">
        <v>41</v>
      </c>
      <c r="C8" s="24" t="n">
        <v>207096.35</v>
      </c>
      <c r="D8" s="24" t="n">
        <v>151445.72</v>
      </c>
      <c r="E8" s="24" t="n">
        <v>796099.55</v>
      </c>
      <c r="F8" s="24" t="n">
        <v>138686.55</v>
      </c>
      <c r="G8" s="24" t="n">
        <v>1293328.17</v>
      </c>
      <c r="H8" s="25" t="n">
        <f aca="false">G8/G19</f>
        <v>0.0275046913090841</v>
      </c>
    </row>
    <row r="9" customFormat="false" ht="15" hidden="false" customHeight="true" outlineLevel="0" collapsed="false">
      <c r="A9" s="4" t="s">
        <v>97</v>
      </c>
      <c r="B9" s="26" t="s">
        <v>41</v>
      </c>
      <c r="C9" s="27" t="n">
        <v>146171.47</v>
      </c>
      <c r="D9" s="27" t="n">
        <v>0</v>
      </c>
      <c r="E9" s="27" t="n">
        <v>444646.48</v>
      </c>
      <c r="F9" s="27" t="n">
        <v>480708.77</v>
      </c>
      <c r="G9" s="27" t="n">
        <v>1071526.72</v>
      </c>
      <c r="H9" s="28" t="n">
        <f aca="false">G9/G19</f>
        <v>0.0227877288585119</v>
      </c>
    </row>
    <row r="10" customFormat="false" ht="15" hidden="false" customHeight="true" outlineLevel="0" collapsed="false">
      <c r="A10" s="10" t="s">
        <v>39</v>
      </c>
      <c r="B10" s="20" t="s">
        <v>41</v>
      </c>
      <c r="C10" s="24" t="n">
        <v>148401.68</v>
      </c>
      <c r="D10" s="24" t="n">
        <v>197198.9</v>
      </c>
      <c r="E10" s="24" t="n">
        <v>0</v>
      </c>
      <c r="F10" s="24" t="n">
        <v>367234.78</v>
      </c>
      <c r="G10" s="24" t="n">
        <v>712835.36</v>
      </c>
      <c r="H10" s="25" t="n">
        <f aca="false">G10/G19</f>
        <v>0.0151595836121004</v>
      </c>
    </row>
    <row r="11" customFormat="false" ht="15" hidden="false" customHeight="true" outlineLevel="0" collapsed="false">
      <c r="A11" s="4" t="s">
        <v>46</v>
      </c>
      <c r="B11" s="26" t="s">
        <v>41</v>
      </c>
      <c r="C11" s="27" t="n">
        <v>398876.84</v>
      </c>
      <c r="D11" s="27" t="n">
        <v>272338.72</v>
      </c>
      <c r="E11" s="27" t="n">
        <v>0</v>
      </c>
      <c r="F11" s="27" t="n">
        <v>0</v>
      </c>
      <c r="G11" s="27" t="n">
        <v>671215.56</v>
      </c>
      <c r="H11" s="28" t="n">
        <f aca="false">G11/G19</f>
        <v>0.0142744720233334</v>
      </c>
    </row>
    <row r="12" customFormat="false" ht="15" hidden="false" customHeight="true" outlineLevel="0" collapsed="false">
      <c r="A12" s="10" t="s">
        <v>54</v>
      </c>
      <c r="B12" s="20" t="s">
        <v>18</v>
      </c>
      <c r="C12" s="24" t="n">
        <v>211032.58</v>
      </c>
      <c r="D12" s="24" t="n">
        <v>96757.57</v>
      </c>
      <c r="E12" s="24" t="n">
        <v>86270.92</v>
      </c>
      <c r="F12" s="24" t="n">
        <v>128040.23</v>
      </c>
      <c r="G12" s="24" t="n">
        <v>522101.3</v>
      </c>
      <c r="H12" s="25" t="n">
        <f aca="false">G12/G19</f>
        <v>0.0111033188804443</v>
      </c>
    </row>
    <row r="13" customFormat="false" ht="15" hidden="false" customHeight="true" outlineLevel="0" collapsed="false">
      <c r="A13" s="4" t="s">
        <v>22</v>
      </c>
      <c r="B13" s="26" t="s">
        <v>18</v>
      </c>
      <c r="C13" s="27" t="n">
        <v>156371.94</v>
      </c>
      <c r="D13" s="27" t="n">
        <v>59790.13</v>
      </c>
      <c r="E13" s="27" t="n">
        <v>70719.2</v>
      </c>
      <c r="F13" s="27" t="n">
        <v>215578.4</v>
      </c>
      <c r="G13" s="27" t="n">
        <v>502459.67</v>
      </c>
      <c r="H13" s="28" t="n">
        <f aca="false">G13/G19</f>
        <v>0.0106856082154418</v>
      </c>
    </row>
    <row r="14" customFormat="false" ht="15" hidden="false" customHeight="true" outlineLevel="0" collapsed="false">
      <c r="A14" s="10" t="s">
        <v>26</v>
      </c>
      <c r="B14" s="20" t="s">
        <v>18</v>
      </c>
      <c r="C14" s="24" t="n">
        <v>150773.45</v>
      </c>
      <c r="D14" s="24" t="n">
        <v>87629.26</v>
      </c>
      <c r="E14" s="24" t="n">
        <v>103934.92</v>
      </c>
      <c r="F14" s="24" t="n">
        <v>130363.96</v>
      </c>
      <c r="G14" s="24" t="n">
        <v>472701.59</v>
      </c>
      <c r="H14" s="25" t="n">
        <f aca="false">G14/G19</f>
        <v>0.0100527550670015</v>
      </c>
    </row>
    <row r="15" customFormat="false" ht="15" hidden="false" customHeight="true" outlineLevel="0" collapsed="false">
      <c r="A15" s="4" t="s">
        <v>43</v>
      </c>
      <c r="B15" s="26" t="s">
        <v>18</v>
      </c>
      <c r="C15" s="27" t="n">
        <v>167094.94</v>
      </c>
      <c r="D15" s="27" t="n">
        <v>0</v>
      </c>
      <c r="E15" s="27" t="n">
        <v>187781.31</v>
      </c>
      <c r="F15" s="27" t="n">
        <v>24539.41</v>
      </c>
      <c r="G15" s="27" t="n">
        <v>379415.66</v>
      </c>
      <c r="H15" s="28" t="n">
        <f aca="false">G15/G19</f>
        <v>0.00806888061993764</v>
      </c>
    </row>
    <row r="16" customFormat="false" ht="15" hidden="false" customHeight="true" outlineLevel="0" collapsed="false">
      <c r="A16" s="10" t="s">
        <v>16</v>
      </c>
      <c r="B16" s="20" t="s">
        <v>18</v>
      </c>
      <c r="C16" s="24" t="n">
        <v>98181.82</v>
      </c>
      <c r="D16" s="24" t="n">
        <v>189960.71</v>
      </c>
      <c r="E16" s="24" t="n">
        <v>0</v>
      </c>
      <c r="F16" s="24" t="n">
        <v>31304.22</v>
      </c>
      <c r="G16" s="24" t="n">
        <v>319446.75</v>
      </c>
      <c r="H16" s="25" t="n">
        <f aca="false">G16/G19</f>
        <v>0.00679354587045001</v>
      </c>
    </row>
    <row r="17" customFormat="false" ht="15" hidden="false" customHeight="true" outlineLevel="0" collapsed="false">
      <c r="A17" s="4" t="s">
        <v>57</v>
      </c>
      <c r="B17" s="26" t="s">
        <v>18</v>
      </c>
      <c r="C17" s="27" t="n">
        <v>46093.63</v>
      </c>
      <c r="D17" s="27" t="n">
        <v>0</v>
      </c>
      <c r="E17" s="27" t="n">
        <v>142379.7</v>
      </c>
      <c r="F17" s="27" t="n">
        <v>55853.98</v>
      </c>
      <c r="G17" s="27" t="n">
        <v>244327.31</v>
      </c>
      <c r="H17" s="28" t="n">
        <f aca="false">G17/G19</f>
        <v>0.00519601087783381</v>
      </c>
    </row>
    <row r="18" customFormat="false" ht="15" hidden="false" customHeight="true" outlineLevel="0" collapsed="false">
      <c r="A18" s="10" t="s">
        <v>36</v>
      </c>
      <c r="B18" s="20" t="s">
        <v>18</v>
      </c>
      <c r="C18" s="24" t="n">
        <v>10870.27</v>
      </c>
      <c r="D18" s="24" t="n">
        <v>13242.53</v>
      </c>
      <c r="E18" s="24" t="n">
        <v>13446.23</v>
      </c>
      <c r="F18" s="24" t="n">
        <v>87892.6</v>
      </c>
      <c r="G18" s="24" t="n">
        <v>125451.63</v>
      </c>
      <c r="H18" s="25" t="n">
        <f aca="false">G18/G19</f>
        <v>0.00266792948410877</v>
      </c>
    </row>
    <row r="19" customFormat="false" ht="15" hidden="false" customHeight="true" outlineLevel="0" collapsed="false">
      <c r="A19" s="29" t="s">
        <v>169</v>
      </c>
      <c r="B19" s="30"/>
      <c r="C19" s="31" t="n">
        <v>7218959.24</v>
      </c>
      <c r="D19" s="31" t="n">
        <v>6406645.03</v>
      </c>
      <c r="E19" s="31" t="n">
        <v>16005854.63</v>
      </c>
      <c r="F19" s="31" t="n">
        <v>17390634.73</v>
      </c>
      <c r="G19" s="31" t="n">
        <v>47022093.63</v>
      </c>
      <c r="H19" s="32" t="n">
        <v>1</v>
      </c>
    </row>
    <row r="22" customFormat="false" ht="15" hidden="false" customHeight="true" outlineLevel="0" collapsed="false">
      <c r="A22" s="33" t="s">
        <v>170</v>
      </c>
      <c r="B22" s="33"/>
      <c r="C22" s="33"/>
      <c r="D22" s="33"/>
      <c r="E22" s="33"/>
      <c r="F22" s="33"/>
      <c r="G22" s="33"/>
      <c r="H22" s="33"/>
    </row>
    <row r="23" customFormat="false" ht="15" hidden="false" customHeight="true" outlineLevel="0" collapsed="false">
      <c r="A23" s="34" t="s">
        <v>4</v>
      </c>
      <c r="B23" s="34" t="s">
        <v>29</v>
      </c>
      <c r="C23" s="34" t="s">
        <v>76</v>
      </c>
      <c r="D23" s="34" t="s">
        <v>34</v>
      </c>
      <c r="E23" s="34" t="s">
        <v>20</v>
      </c>
      <c r="F23" s="34" t="s">
        <v>171</v>
      </c>
      <c r="G23" s="34" t="s">
        <v>172</v>
      </c>
    </row>
    <row r="24" customFormat="false" ht="15" hidden="false" customHeight="true" outlineLevel="0" collapsed="false">
      <c r="A24" s="35" t="s">
        <v>33</v>
      </c>
      <c r="B24" s="36" t="n">
        <v>5477994.27</v>
      </c>
      <c r="C24" s="36" t="n">
        <v>5338281.49</v>
      </c>
      <c r="D24" s="36" t="n">
        <v>14160576.32</v>
      </c>
      <c r="E24" s="36" t="n">
        <v>15730431.83</v>
      </c>
      <c r="F24" s="36" t="n">
        <v>40707283.91</v>
      </c>
      <c r="G24" s="37" t="n">
        <v>0.865705475181752</v>
      </c>
    </row>
    <row r="25" customFormat="false" ht="15" hidden="false" customHeight="true" outlineLevel="0" collapsed="false">
      <c r="A25" s="38" t="s">
        <v>41</v>
      </c>
      <c r="B25" s="39" t="n">
        <v>900546.34</v>
      </c>
      <c r="C25" s="39" t="n">
        <v>620983.34</v>
      </c>
      <c r="D25" s="39" t="n">
        <v>1240746.03</v>
      </c>
      <c r="E25" s="39" t="n">
        <v>986630.1</v>
      </c>
      <c r="F25" s="39" t="n">
        <v>3748905.81</v>
      </c>
      <c r="G25" s="40" t="n">
        <v>0.0797264758030299</v>
      </c>
    </row>
    <row r="26" customFormat="false" ht="15" hidden="false" customHeight="true" outlineLevel="0" collapsed="false">
      <c r="A26" s="41" t="s">
        <v>18</v>
      </c>
      <c r="B26" s="42" t="n">
        <v>840418.63</v>
      </c>
      <c r="C26" s="42" t="n">
        <v>447380.2</v>
      </c>
      <c r="D26" s="42" t="n">
        <v>604532.28</v>
      </c>
      <c r="E26" s="42" t="n">
        <v>673572.8</v>
      </c>
      <c r="F26" s="42" t="n">
        <v>2565903.91</v>
      </c>
      <c r="G26" s="43" t="n">
        <v>0.0545680490152178</v>
      </c>
    </row>
  </sheetData>
  <mergeCells count="2">
    <mergeCell ref="A1:H1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12" min="2" style="1" width="13"/>
  </cols>
  <sheetData>
    <row r="1" customFormat="false" ht="30" hidden="false" customHeight="true" outlineLevel="0" collapsed="false">
      <c r="A1" s="44" t="s">
        <v>173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3" customFormat="false" ht="15.75" hidden="false" customHeight="true" outlineLevel="0" collapsed="false">
      <c r="B3" s="45" t="s">
        <v>174</v>
      </c>
      <c r="C3" s="45"/>
      <c r="D3" s="46" t="s">
        <v>175</v>
      </c>
      <c r="E3" s="46"/>
      <c r="F3" s="47" t="s">
        <v>176</v>
      </c>
      <c r="G3" s="47"/>
      <c r="H3" s="48" t="s">
        <v>177</v>
      </c>
      <c r="I3" s="48"/>
      <c r="J3" s="49" t="s">
        <v>178</v>
      </c>
      <c r="K3" s="49"/>
    </row>
    <row r="4" customFormat="false" ht="31.5" hidden="false" customHeight="true" outlineLevel="0" collapsed="false">
      <c r="B4" s="50" t="n">
        <v>54377308.3</v>
      </c>
      <c r="C4" s="50"/>
      <c r="D4" s="51" t="n">
        <v>7355214.67</v>
      </c>
      <c r="E4" s="51"/>
      <c r="F4" s="52" t="n">
        <v>47022093.63</v>
      </c>
      <c r="G4" s="52"/>
      <c r="H4" s="53" t="n">
        <v>22530762.87</v>
      </c>
      <c r="I4" s="53"/>
      <c r="J4" s="54" t="n">
        <v>11204577.62</v>
      </c>
      <c r="K4" s="54"/>
    </row>
    <row r="5" customFormat="false" ht="13.5" hidden="false" customHeight="true" outlineLevel="0" collapsed="false">
      <c r="B5" s="55" t="s">
        <v>179</v>
      </c>
      <c r="C5" s="55"/>
      <c r="D5" s="55" t="s">
        <v>180</v>
      </c>
      <c r="E5" s="55"/>
      <c r="F5" s="55" t="s">
        <v>181</v>
      </c>
      <c r="G5" s="55"/>
      <c r="H5" s="55" t="s">
        <v>182</v>
      </c>
      <c r="I5" s="55"/>
      <c r="J5" s="55" t="s">
        <v>183</v>
      </c>
      <c r="K5" s="55"/>
    </row>
    <row r="6" customFormat="false" ht="6" hidden="false" customHeight="true" outlineLevel="0" collapsed="false">
      <c r="B6" s="56"/>
      <c r="C6" s="56"/>
      <c r="D6" s="56"/>
      <c r="E6" s="56"/>
      <c r="F6" s="56"/>
      <c r="G6" s="56"/>
      <c r="H6" s="56"/>
      <c r="I6" s="56"/>
      <c r="J6" s="56"/>
      <c r="K6" s="56"/>
    </row>
    <row r="9" customFormat="false" ht="15.75" hidden="false" customHeight="true" outlineLevel="0" collapsed="false">
      <c r="B9" s="57" t="s">
        <v>184</v>
      </c>
      <c r="C9" s="57"/>
      <c r="D9" s="46" t="s">
        <v>185</v>
      </c>
      <c r="E9" s="46"/>
      <c r="F9" s="46" t="s">
        <v>186</v>
      </c>
      <c r="G9" s="46"/>
      <c r="H9" s="47" t="s">
        <v>187</v>
      </c>
      <c r="I9" s="47"/>
      <c r="J9" s="48" t="s">
        <v>188</v>
      </c>
      <c r="K9" s="48"/>
    </row>
    <row r="10" customFormat="false" ht="31.5" hidden="false" customHeight="true" outlineLevel="0" collapsed="false">
      <c r="B10" s="58" t="n">
        <v>69.2</v>
      </c>
      <c r="C10" s="58"/>
      <c r="D10" s="59" t="n">
        <v>0.170367140418277</v>
      </c>
      <c r="E10" s="59"/>
      <c r="F10" s="51" t="n">
        <v>7218959.24</v>
      </c>
      <c r="G10" s="51"/>
      <c r="H10" s="52" t="n">
        <v>6406645.03</v>
      </c>
      <c r="I10" s="52"/>
      <c r="J10" s="53" t="n">
        <v>17390634.73</v>
      </c>
      <c r="K10" s="53"/>
    </row>
    <row r="11" customFormat="false" ht="13.5" hidden="false" customHeight="true" outlineLevel="0" collapsed="false">
      <c r="B11" s="55" t="s">
        <v>189</v>
      </c>
      <c r="C11" s="55"/>
      <c r="D11" s="55" t="s">
        <v>190</v>
      </c>
      <c r="E11" s="55"/>
      <c r="F11" s="55" t="s">
        <v>191</v>
      </c>
      <c r="G11" s="55"/>
      <c r="H11" s="55" t="s">
        <v>192</v>
      </c>
      <c r="I11" s="55"/>
      <c r="J11" s="55" t="s">
        <v>193</v>
      </c>
      <c r="K11" s="55"/>
    </row>
    <row r="12" customFormat="false" ht="6" hidden="false" customHeight="true" outlineLevel="0" collapsed="false">
      <c r="B12" s="56"/>
      <c r="C12" s="56"/>
      <c r="D12" s="56"/>
      <c r="E12" s="56"/>
      <c r="F12" s="56"/>
      <c r="G12" s="56"/>
      <c r="H12" s="56"/>
      <c r="I12" s="56"/>
      <c r="J12" s="56"/>
      <c r="K12" s="56"/>
    </row>
    <row r="15" customFormat="false" ht="15" hidden="false" customHeight="true" outlineLevel="0" collapsed="false">
      <c r="B15" s="60" t="s">
        <v>194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</row>
    <row r="16" customFormat="false" ht="15" hidden="false" customHeight="true" outlineLevel="0" collapsed="false">
      <c r="B16" s="61" t="s">
        <v>12</v>
      </c>
      <c r="C16" s="61"/>
      <c r="D16" s="61"/>
      <c r="E16" s="61" t="s">
        <v>9</v>
      </c>
      <c r="F16" s="61"/>
      <c r="G16" s="61"/>
      <c r="H16" s="61" t="s">
        <v>168</v>
      </c>
      <c r="I16" s="61"/>
      <c r="J16" s="61" t="s">
        <v>195</v>
      </c>
      <c r="K16" s="61"/>
    </row>
    <row r="17" customFormat="false" ht="19.5" hidden="false" customHeight="true" outlineLevel="0" collapsed="false">
      <c r="B17" s="62" t="s">
        <v>29</v>
      </c>
      <c r="C17" s="62"/>
      <c r="D17" s="62"/>
      <c r="E17" s="63" t="n">
        <v>7218959.24</v>
      </c>
      <c r="F17" s="63"/>
      <c r="G17" s="63"/>
      <c r="H17" s="64" t="n">
        <v>0.153522709915969</v>
      </c>
      <c r="I17" s="64"/>
      <c r="J17" s="65" t="s">
        <v>196</v>
      </c>
      <c r="K17" s="65"/>
    </row>
    <row r="18" customFormat="false" ht="19.5" hidden="false" customHeight="true" outlineLevel="0" collapsed="false">
      <c r="B18" s="66" t="s">
        <v>76</v>
      </c>
      <c r="C18" s="66"/>
      <c r="D18" s="66"/>
      <c r="E18" s="67" t="n">
        <v>6406645.03</v>
      </c>
      <c r="F18" s="67"/>
      <c r="G18" s="67"/>
      <c r="H18" s="68" t="n">
        <v>0.136247549511759</v>
      </c>
      <c r="I18" s="68"/>
      <c r="J18" s="69" t="s">
        <v>197</v>
      </c>
      <c r="K18" s="69"/>
    </row>
    <row r="19" customFormat="false" ht="19.5" hidden="false" customHeight="true" outlineLevel="0" collapsed="false">
      <c r="B19" s="70" t="s">
        <v>34</v>
      </c>
      <c r="C19" s="70"/>
      <c r="D19" s="70"/>
      <c r="E19" s="71" t="n">
        <v>16005854.63</v>
      </c>
      <c r="F19" s="71"/>
      <c r="G19" s="71"/>
      <c r="H19" s="72" t="n">
        <v>0.340390088879163</v>
      </c>
      <c r="I19" s="72"/>
      <c r="J19" s="73" t="s">
        <v>198</v>
      </c>
      <c r="K19" s="73"/>
    </row>
    <row r="20" customFormat="false" ht="19.5" hidden="false" customHeight="true" outlineLevel="0" collapsed="false">
      <c r="B20" s="74" t="s">
        <v>20</v>
      </c>
      <c r="C20" s="74"/>
      <c r="D20" s="74"/>
      <c r="E20" s="75" t="n">
        <v>17390634.73</v>
      </c>
      <c r="F20" s="75"/>
      <c r="G20" s="75"/>
      <c r="H20" s="76" t="n">
        <v>0.36983965169311</v>
      </c>
      <c r="I20" s="76"/>
      <c r="J20" s="77" t="s">
        <v>199</v>
      </c>
      <c r="K20" s="77"/>
    </row>
    <row r="23" customFormat="false" ht="15" hidden="false" customHeight="true" outlineLevel="0" collapsed="false">
      <c r="B23" s="78" t="s">
        <v>200</v>
      </c>
      <c r="C23" s="78"/>
      <c r="D23" s="78"/>
      <c r="E23" s="78"/>
      <c r="F23" s="78"/>
      <c r="G23" s="78"/>
      <c r="H23" s="78"/>
      <c r="I23" s="78"/>
      <c r="J23" s="78"/>
      <c r="K23" s="78"/>
      <c r="L23" s="78"/>
    </row>
    <row r="24" customFormat="false" ht="19.5" hidden="false" customHeight="true" outlineLevel="0" collapsed="false">
      <c r="B24" s="79" t="s">
        <v>201</v>
      </c>
      <c r="C24" s="79" t="s">
        <v>202</v>
      </c>
      <c r="D24" s="79" t="s">
        <v>203</v>
      </c>
      <c r="E24" s="79" t="s">
        <v>204</v>
      </c>
      <c r="F24" s="79" t="s">
        <v>205</v>
      </c>
      <c r="G24" s="79" t="s">
        <v>206</v>
      </c>
      <c r="H24" s="79" t="s">
        <v>207</v>
      </c>
      <c r="I24" s="79" t="s">
        <v>208</v>
      </c>
      <c r="J24" s="79" t="s">
        <v>209</v>
      </c>
      <c r="K24" s="79" t="s">
        <v>210</v>
      </c>
      <c r="L24" s="79" t="s">
        <v>211</v>
      </c>
      <c r="M24" s="79" t="s">
        <v>212</v>
      </c>
    </row>
    <row r="25" customFormat="false" ht="24" hidden="false" customHeight="true" outlineLevel="0" collapsed="false">
      <c r="B25" s="80" t="n">
        <v>52</v>
      </c>
      <c r="C25" s="81" t="n">
        <v>49</v>
      </c>
      <c r="D25" s="80" t="n">
        <v>51</v>
      </c>
      <c r="E25" s="81" t="n">
        <v>48</v>
      </c>
      <c r="F25" s="81" t="n">
        <v>47</v>
      </c>
      <c r="G25" s="81" t="n">
        <v>46</v>
      </c>
      <c r="H25" s="82" t="n">
        <v>45</v>
      </c>
      <c r="I25" s="82" t="n">
        <v>44</v>
      </c>
      <c r="J25" s="82" t="n">
        <v>45</v>
      </c>
      <c r="K25" s="82" t="n">
        <v>43</v>
      </c>
      <c r="L25" s="82" t="n">
        <v>42</v>
      </c>
      <c r="M25" s="80" t="n">
        <v>69.2</v>
      </c>
    </row>
  </sheetData>
  <mergeCells count="63">
    <mergeCell ref="A1:L1"/>
    <mergeCell ref="B3:C3"/>
    <mergeCell ref="D3:E3"/>
    <mergeCell ref="F3:G3"/>
    <mergeCell ref="H3:I3"/>
    <mergeCell ref="J3:K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B11:C11"/>
    <mergeCell ref="D11:E11"/>
    <mergeCell ref="F11:G11"/>
    <mergeCell ref="H11:I11"/>
    <mergeCell ref="J11:K11"/>
    <mergeCell ref="B12:C12"/>
    <mergeCell ref="D12:E12"/>
    <mergeCell ref="F12:G12"/>
    <mergeCell ref="H12:I12"/>
    <mergeCell ref="J12:K12"/>
    <mergeCell ref="B15:L15"/>
    <mergeCell ref="B16:D16"/>
    <mergeCell ref="E16:G16"/>
    <mergeCell ref="H16:I16"/>
    <mergeCell ref="J16:K16"/>
    <mergeCell ref="B17:D17"/>
    <mergeCell ref="E17:G17"/>
    <mergeCell ref="H17:I17"/>
    <mergeCell ref="J17:K17"/>
    <mergeCell ref="B18:D18"/>
    <mergeCell ref="E18:G18"/>
    <mergeCell ref="H18:I18"/>
    <mergeCell ref="J18:K18"/>
    <mergeCell ref="B19:D19"/>
    <mergeCell ref="E19:G19"/>
    <mergeCell ref="H19:I19"/>
    <mergeCell ref="J19:K19"/>
    <mergeCell ref="B20:D20"/>
    <mergeCell ref="E20:G20"/>
    <mergeCell ref="H20:I20"/>
    <mergeCell ref="J20:K20"/>
    <mergeCell ref="B23:L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A589"/>
    <pageSetUpPr fitToPage="false"/>
  </sheetPr>
  <dimension ref="A1:M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13" min="4" style="1" width="14"/>
  </cols>
  <sheetData>
    <row r="1" customFormat="false" ht="25.5" hidden="false" customHeight="true" outlineLevel="0" collapsed="false">
      <c r="A1" s="83" t="s">
        <v>213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3" customFormat="false" ht="27.75" hidden="false" customHeight="true" outlineLevel="0" collapsed="false">
      <c r="A3" s="34" t="s">
        <v>214</v>
      </c>
      <c r="B3" s="34" t="s">
        <v>2</v>
      </c>
      <c r="C3" s="34" t="s">
        <v>4</v>
      </c>
      <c r="D3" s="34" t="s">
        <v>215</v>
      </c>
      <c r="E3" s="34" t="s">
        <v>216</v>
      </c>
      <c r="F3" s="34" t="s">
        <v>217</v>
      </c>
      <c r="G3" s="34" t="s">
        <v>218</v>
      </c>
      <c r="H3" s="34" t="s">
        <v>5</v>
      </c>
      <c r="I3" s="34" t="s">
        <v>219</v>
      </c>
      <c r="J3" s="34" t="s">
        <v>6</v>
      </c>
      <c r="K3" s="34" t="s">
        <v>68</v>
      </c>
      <c r="L3" s="34" t="s">
        <v>11</v>
      </c>
      <c r="M3" s="34" t="s">
        <v>220</v>
      </c>
    </row>
    <row r="4" customFormat="false" ht="15" hidden="false" customHeight="true" outlineLevel="0" collapsed="false">
      <c r="A4" s="10" t="s">
        <v>221</v>
      </c>
      <c r="B4" s="10" t="s">
        <v>49</v>
      </c>
      <c r="C4" s="10" t="s">
        <v>41</v>
      </c>
      <c r="D4" s="11" t="n">
        <v>45640</v>
      </c>
      <c r="E4" s="11" t="n">
        <v>45640</v>
      </c>
      <c r="F4" s="11" t="n">
        <v>45642</v>
      </c>
      <c r="G4" s="11" t="n">
        <v>45644</v>
      </c>
      <c r="H4" s="11" t="n">
        <v>45644</v>
      </c>
      <c r="I4" s="11" t="n">
        <v>45645</v>
      </c>
      <c r="J4" s="11" t="n">
        <v>45689</v>
      </c>
      <c r="K4" s="11" t="n">
        <v>45693</v>
      </c>
      <c r="L4" s="19" t="s">
        <v>68</v>
      </c>
      <c r="M4" s="14" t="n">
        <v>53</v>
      </c>
    </row>
    <row r="5" customFormat="false" ht="15" hidden="false" customHeight="true" outlineLevel="0" collapsed="false">
      <c r="A5" s="4" t="s">
        <v>222</v>
      </c>
      <c r="B5" s="4" t="s">
        <v>43</v>
      </c>
      <c r="C5" s="4" t="s">
        <v>18</v>
      </c>
      <c r="D5" s="5" t="n">
        <v>45715</v>
      </c>
      <c r="E5" s="5" t="n">
        <v>45716</v>
      </c>
      <c r="F5" s="5" t="n">
        <v>45718</v>
      </c>
      <c r="G5" s="5" t="n">
        <v>45722</v>
      </c>
      <c r="H5" s="5" t="n">
        <v>45724</v>
      </c>
      <c r="I5" s="5" t="n">
        <v>45724</v>
      </c>
      <c r="J5" s="5" t="n">
        <v>45784</v>
      </c>
      <c r="K5" s="4"/>
      <c r="L5" s="15" t="s">
        <v>223</v>
      </c>
      <c r="M5" s="9" t="n">
        <v>32</v>
      </c>
    </row>
    <row r="6" customFormat="false" ht="15" hidden="false" customHeight="true" outlineLevel="0" collapsed="false">
      <c r="A6" s="10" t="s">
        <v>224</v>
      </c>
      <c r="B6" s="10" t="s">
        <v>26</v>
      </c>
      <c r="C6" s="10" t="s">
        <v>18</v>
      </c>
      <c r="D6" s="11" t="n">
        <v>45612</v>
      </c>
      <c r="E6" s="11" t="n">
        <v>45612</v>
      </c>
      <c r="F6" s="11" t="n">
        <v>45613</v>
      </c>
      <c r="G6" s="11" t="n">
        <v>45618</v>
      </c>
      <c r="H6" s="11" t="n">
        <v>45620</v>
      </c>
      <c r="I6" s="11" t="n">
        <v>45621</v>
      </c>
      <c r="J6" s="11" t="n">
        <v>45680</v>
      </c>
      <c r="K6" s="11" t="n">
        <v>45705</v>
      </c>
      <c r="L6" s="19" t="s">
        <v>68</v>
      </c>
      <c r="M6" s="14" t="n">
        <v>93</v>
      </c>
    </row>
    <row r="7" customFormat="false" ht="15" hidden="false" customHeight="true" outlineLevel="0" collapsed="false">
      <c r="A7" s="4" t="s">
        <v>225</v>
      </c>
      <c r="B7" s="4" t="s">
        <v>54</v>
      </c>
      <c r="C7" s="4" t="s">
        <v>18</v>
      </c>
      <c r="D7" s="5" t="n">
        <v>45642</v>
      </c>
      <c r="E7" s="5" t="n">
        <v>45643</v>
      </c>
      <c r="F7" s="5" t="n">
        <v>45645</v>
      </c>
      <c r="G7" s="5" t="n">
        <v>45647</v>
      </c>
      <c r="H7" s="5" t="n">
        <v>45647</v>
      </c>
      <c r="I7" s="5" t="n">
        <v>45650</v>
      </c>
      <c r="J7" s="5" t="n">
        <v>45707</v>
      </c>
      <c r="K7" s="5" t="n">
        <v>45728</v>
      </c>
      <c r="L7" s="19" t="s">
        <v>68</v>
      </c>
      <c r="M7" s="9" t="n">
        <v>86</v>
      </c>
    </row>
    <row r="8" customFormat="false" ht="15" hidden="false" customHeight="true" outlineLevel="0" collapsed="false">
      <c r="A8" s="10" t="s">
        <v>226</v>
      </c>
      <c r="B8" s="10" t="s">
        <v>75</v>
      </c>
      <c r="C8" s="10" t="s">
        <v>33</v>
      </c>
      <c r="D8" s="11" t="n">
        <v>45651</v>
      </c>
      <c r="E8" s="11" t="n">
        <v>45651</v>
      </c>
      <c r="F8" s="11" t="n">
        <v>45653</v>
      </c>
      <c r="G8" s="11" t="n">
        <v>45658</v>
      </c>
      <c r="H8" s="11" t="n">
        <v>45660</v>
      </c>
      <c r="I8" s="11" t="n">
        <v>45660</v>
      </c>
      <c r="J8" s="11" t="n">
        <v>45690</v>
      </c>
      <c r="K8" s="11" t="n">
        <v>45705</v>
      </c>
      <c r="L8" s="19" t="s">
        <v>68</v>
      </c>
      <c r="M8" s="14" t="n">
        <v>54</v>
      </c>
    </row>
    <row r="9" customFormat="false" ht="15" hidden="false" customHeight="true" outlineLevel="0" collapsed="false">
      <c r="A9" s="4" t="s">
        <v>227</v>
      </c>
      <c r="B9" s="4" t="s">
        <v>46</v>
      </c>
      <c r="C9" s="4" t="s">
        <v>41</v>
      </c>
      <c r="D9" s="5" t="n">
        <v>45634</v>
      </c>
      <c r="E9" s="5" t="n">
        <v>45634</v>
      </c>
      <c r="F9" s="5" t="n">
        <v>45635</v>
      </c>
      <c r="G9" s="5" t="n">
        <v>45640</v>
      </c>
      <c r="H9" s="5" t="n">
        <v>45640</v>
      </c>
      <c r="I9" s="5" t="n">
        <v>45643</v>
      </c>
      <c r="J9" s="5" t="n">
        <v>45685</v>
      </c>
      <c r="K9" s="5" t="n">
        <v>45691</v>
      </c>
      <c r="L9" s="19" t="s">
        <v>68</v>
      </c>
      <c r="M9" s="9" t="n">
        <v>57</v>
      </c>
    </row>
    <row r="10" customFormat="false" ht="15" hidden="false" customHeight="true" outlineLevel="0" collapsed="false">
      <c r="A10" s="10" t="s">
        <v>228</v>
      </c>
      <c r="B10" s="10" t="s">
        <v>46</v>
      </c>
      <c r="C10" s="10" t="s">
        <v>41</v>
      </c>
      <c r="D10" s="11" t="n">
        <v>45601</v>
      </c>
      <c r="E10" s="11" t="n">
        <v>45601</v>
      </c>
      <c r="F10" s="11" t="n">
        <v>45602</v>
      </c>
      <c r="G10" s="11" t="n">
        <v>45607</v>
      </c>
      <c r="H10" s="11" t="n">
        <v>45607</v>
      </c>
      <c r="I10" s="11" t="n">
        <v>45610</v>
      </c>
      <c r="J10" s="11" t="n">
        <v>45652</v>
      </c>
      <c r="K10" s="11" t="n">
        <v>45653</v>
      </c>
      <c r="L10" s="19" t="s">
        <v>68</v>
      </c>
      <c r="M10" s="14" t="n">
        <v>52</v>
      </c>
    </row>
    <row r="11" customFormat="false" ht="15" hidden="false" customHeight="true" outlineLevel="0" collapsed="false">
      <c r="A11" s="4" t="s">
        <v>229</v>
      </c>
      <c r="B11" s="4" t="s">
        <v>46</v>
      </c>
      <c r="C11" s="4" t="s">
        <v>41</v>
      </c>
      <c r="D11" s="5" t="n">
        <v>45704</v>
      </c>
      <c r="E11" s="5" t="n">
        <v>45704</v>
      </c>
      <c r="F11" s="5" t="n">
        <v>45706</v>
      </c>
      <c r="G11" s="5" t="n">
        <v>45708</v>
      </c>
      <c r="H11" s="5" t="n">
        <v>45710</v>
      </c>
      <c r="I11" s="5" t="n">
        <v>45713</v>
      </c>
      <c r="J11" s="5" t="n">
        <v>45755</v>
      </c>
      <c r="K11" s="4"/>
      <c r="L11" s="15" t="s">
        <v>223</v>
      </c>
      <c r="M11" s="9" t="n">
        <v>43</v>
      </c>
    </row>
    <row r="12" customFormat="false" ht="15" hidden="false" customHeight="true" outlineLevel="0" collapsed="false">
      <c r="A12" s="10" t="s">
        <v>230</v>
      </c>
      <c r="B12" s="10" t="s">
        <v>26</v>
      </c>
      <c r="C12" s="10" t="s">
        <v>18</v>
      </c>
      <c r="D12" s="11" t="n">
        <v>45692</v>
      </c>
      <c r="E12" s="11" t="n">
        <v>45692</v>
      </c>
      <c r="F12" s="11" t="n">
        <v>45692</v>
      </c>
      <c r="G12" s="11" t="n">
        <v>45693</v>
      </c>
      <c r="H12" s="11" t="n">
        <v>45693</v>
      </c>
      <c r="I12" s="11" t="n">
        <v>45694</v>
      </c>
      <c r="J12" s="11" t="n">
        <v>45753</v>
      </c>
      <c r="K12" s="10"/>
      <c r="L12" s="15" t="s">
        <v>223</v>
      </c>
      <c r="M12" s="14" t="n">
        <v>55</v>
      </c>
    </row>
    <row r="13" customFormat="false" ht="15" hidden="false" customHeight="true" outlineLevel="0" collapsed="false">
      <c r="A13" s="4" t="s">
        <v>231</v>
      </c>
      <c r="B13" s="4" t="s">
        <v>39</v>
      </c>
      <c r="C13" s="4" t="s">
        <v>41</v>
      </c>
      <c r="D13" s="5" t="n">
        <v>45630</v>
      </c>
      <c r="E13" s="5" t="n">
        <v>45630</v>
      </c>
      <c r="F13" s="5" t="n">
        <v>45631</v>
      </c>
      <c r="G13" s="5" t="n">
        <v>45632</v>
      </c>
      <c r="H13" s="5" t="n">
        <v>45632</v>
      </c>
      <c r="I13" s="5" t="n">
        <v>45634</v>
      </c>
      <c r="J13" s="5" t="n">
        <v>45677</v>
      </c>
      <c r="K13" s="5" t="n">
        <v>45696</v>
      </c>
      <c r="L13" s="19" t="s">
        <v>68</v>
      </c>
      <c r="M13" s="9" t="n">
        <v>66</v>
      </c>
    </row>
    <row r="14" customFormat="false" ht="15" hidden="false" customHeight="true" outlineLevel="0" collapsed="false">
      <c r="A14" s="10" t="s">
        <v>232</v>
      </c>
      <c r="B14" s="10" t="s">
        <v>60</v>
      </c>
      <c r="C14" s="10" t="s">
        <v>33</v>
      </c>
      <c r="D14" s="11" t="n">
        <v>45640</v>
      </c>
      <c r="E14" s="11" t="n">
        <v>45641</v>
      </c>
      <c r="F14" s="11" t="n">
        <v>45641</v>
      </c>
      <c r="G14" s="11" t="n">
        <v>45646</v>
      </c>
      <c r="H14" s="11" t="n">
        <v>45647</v>
      </c>
      <c r="I14" s="11" t="n">
        <v>45648</v>
      </c>
      <c r="J14" s="11" t="n">
        <v>45677</v>
      </c>
      <c r="K14" s="11" t="n">
        <v>45705</v>
      </c>
      <c r="L14" s="19" t="s">
        <v>68</v>
      </c>
      <c r="M14" s="14" t="n">
        <v>65</v>
      </c>
    </row>
    <row r="15" customFormat="false" ht="15" hidden="false" customHeight="true" outlineLevel="0" collapsed="false">
      <c r="A15" s="4" t="s">
        <v>233</v>
      </c>
      <c r="B15" s="4" t="s">
        <v>43</v>
      </c>
      <c r="C15" s="4" t="s">
        <v>18</v>
      </c>
      <c r="D15" s="5" t="n">
        <v>45723</v>
      </c>
      <c r="E15" s="5" t="n">
        <v>45723</v>
      </c>
      <c r="F15" s="5" t="n">
        <v>45724</v>
      </c>
      <c r="G15" s="5" t="n">
        <v>45727</v>
      </c>
      <c r="H15" s="5" t="n">
        <v>45729</v>
      </c>
      <c r="I15" s="5" t="n">
        <v>45732</v>
      </c>
      <c r="J15" s="5" t="n">
        <v>45789</v>
      </c>
      <c r="K15" s="4"/>
      <c r="L15" s="15" t="s">
        <v>223</v>
      </c>
      <c r="M15" s="9" t="n">
        <v>24</v>
      </c>
    </row>
    <row r="16" customFormat="false" ht="15" hidden="false" customHeight="true" outlineLevel="0" collapsed="false">
      <c r="A16" s="10" t="s">
        <v>234</v>
      </c>
      <c r="B16" s="10" t="s">
        <v>57</v>
      </c>
      <c r="C16" s="10" t="s">
        <v>18</v>
      </c>
      <c r="D16" s="11" t="n">
        <v>45705</v>
      </c>
      <c r="E16" s="11" t="n">
        <v>45706</v>
      </c>
      <c r="F16" s="11" t="n">
        <v>45708</v>
      </c>
      <c r="G16" s="11" t="n">
        <v>45712</v>
      </c>
      <c r="H16" s="11" t="n">
        <v>45712</v>
      </c>
      <c r="I16" s="11" t="n">
        <v>45713</v>
      </c>
      <c r="J16" s="11" t="n">
        <v>45772</v>
      </c>
      <c r="K16" s="10"/>
      <c r="L16" s="15" t="s">
        <v>223</v>
      </c>
      <c r="M16" s="14" t="n">
        <v>42</v>
      </c>
    </row>
    <row r="17" customFormat="false" ht="15" hidden="false" customHeight="true" outlineLevel="0" collapsed="false">
      <c r="A17" s="4" t="s">
        <v>235</v>
      </c>
      <c r="B17" s="4" t="s">
        <v>22</v>
      </c>
      <c r="C17" s="4" t="s">
        <v>18</v>
      </c>
      <c r="D17" s="5" t="n">
        <v>45699</v>
      </c>
      <c r="E17" s="5" t="n">
        <v>45700</v>
      </c>
      <c r="F17" s="5" t="n">
        <v>45700</v>
      </c>
      <c r="G17" s="5" t="n">
        <v>45701</v>
      </c>
      <c r="H17" s="5" t="n">
        <v>45701</v>
      </c>
      <c r="I17" s="5" t="n">
        <v>45702</v>
      </c>
      <c r="J17" s="5" t="n">
        <v>45761</v>
      </c>
      <c r="K17" s="4"/>
      <c r="L17" s="15" t="s">
        <v>223</v>
      </c>
      <c r="M17" s="9" t="n">
        <v>48</v>
      </c>
    </row>
    <row r="18" customFormat="false" ht="15" hidden="false" customHeight="true" outlineLevel="0" collapsed="false">
      <c r="A18" s="10" t="s">
        <v>236</v>
      </c>
      <c r="B18" s="10" t="s">
        <v>97</v>
      </c>
      <c r="C18" s="10" t="s">
        <v>41</v>
      </c>
      <c r="D18" s="11" t="n">
        <v>45693</v>
      </c>
      <c r="E18" s="11" t="n">
        <v>45693</v>
      </c>
      <c r="F18" s="11" t="n">
        <v>45694</v>
      </c>
      <c r="G18" s="11" t="n">
        <v>45696</v>
      </c>
      <c r="H18" s="11" t="n">
        <v>45696</v>
      </c>
      <c r="I18" s="11" t="n">
        <v>45698</v>
      </c>
      <c r="J18" s="11" t="n">
        <v>45741</v>
      </c>
      <c r="K18" s="10"/>
      <c r="L18" s="13" t="s">
        <v>24</v>
      </c>
      <c r="M18" s="14" t="n">
        <v>54</v>
      </c>
    </row>
    <row r="19" customFormat="false" ht="15" hidden="false" customHeight="true" outlineLevel="0" collapsed="false">
      <c r="A19" s="4" t="s">
        <v>237</v>
      </c>
      <c r="B19" s="4" t="s">
        <v>43</v>
      </c>
      <c r="C19" s="4" t="s">
        <v>18</v>
      </c>
      <c r="D19" s="5" t="n">
        <v>45610</v>
      </c>
      <c r="E19" s="5" t="n">
        <v>45610</v>
      </c>
      <c r="F19" s="5" t="n">
        <v>45611</v>
      </c>
      <c r="G19" s="5" t="n">
        <v>45612</v>
      </c>
      <c r="H19" s="5" t="n">
        <v>45613</v>
      </c>
      <c r="I19" s="5" t="n">
        <v>45614</v>
      </c>
      <c r="J19" s="5" t="n">
        <v>45673</v>
      </c>
      <c r="K19" s="5" t="n">
        <v>45694</v>
      </c>
      <c r="L19" s="19" t="s">
        <v>68</v>
      </c>
      <c r="M19" s="9" t="n">
        <v>84</v>
      </c>
    </row>
    <row r="20" customFormat="false" ht="15" hidden="false" customHeight="true" outlineLevel="0" collapsed="false">
      <c r="A20" s="10" t="s">
        <v>238</v>
      </c>
      <c r="B20" s="10" t="s">
        <v>31</v>
      </c>
      <c r="C20" s="10" t="s">
        <v>33</v>
      </c>
      <c r="D20" s="11" t="n">
        <v>45609</v>
      </c>
      <c r="E20" s="11" t="n">
        <v>45610</v>
      </c>
      <c r="F20" s="11" t="n">
        <v>45610</v>
      </c>
      <c r="G20" s="11" t="n">
        <v>45615</v>
      </c>
      <c r="H20" s="11" t="n">
        <v>45615</v>
      </c>
      <c r="I20" s="11" t="n">
        <v>45617</v>
      </c>
      <c r="J20" s="11" t="n">
        <v>45645</v>
      </c>
      <c r="K20" s="11" t="n">
        <v>45651</v>
      </c>
      <c r="L20" s="19" t="s">
        <v>68</v>
      </c>
      <c r="M20" s="14" t="n">
        <v>42</v>
      </c>
    </row>
    <row r="21" customFormat="false" ht="15" hidden="false" customHeight="true" outlineLevel="0" collapsed="false">
      <c r="A21" s="4" t="s">
        <v>239</v>
      </c>
      <c r="B21" s="4" t="s">
        <v>49</v>
      </c>
      <c r="C21" s="4" t="s">
        <v>41</v>
      </c>
      <c r="D21" s="5" t="n">
        <v>45635</v>
      </c>
      <c r="E21" s="5" t="n">
        <v>45636</v>
      </c>
      <c r="F21" s="5" t="n">
        <v>45637</v>
      </c>
      <c r="G21" s="5" t="n">
        <v>45641</v>
      </c>
      <c r="H21" s="5" t="n">
        <v>45642</v>
      </c>
      <c r="I21" s="5" t="n">
        <v>45644</v>
      </c>
      <c r="J21" s="5" t="n">
        <v>45687</v>
      </c>
      <c r="K21" s="5" t="n">
        <v>45704</v>
      </c>
      <c r="L21" s="19" t="s">
        <v>68</v>
      </c>
      <c r="M21" s="9" t="n">
        <v>69</v>
      </c>
    </row>
    <row r="22" customFormat="false" ht="15" hidden="false" customHeight="true" outlineLevel="0" collapsed="false">
      <c r="A22" s="10" t="s">
        <v>240</v>
      </c>
      <c r="B22" s="10" t="s">
        <v>31</v>
      </c>
      <c r="C22" s="10" t="s">
        <v>33</v>
      </c>
      <c r="D22" s="11" t="n">
        <v>45691</v>
      </c>
      <c r="E22" s="11" t="n">
        <v>45691</v>
      </c>
      <c r="F22" s="11" t="n">
        <v>45692</v>
      </c>
      <c r="G22" s="11" t="n">
        <v>45696</v>
      </c>
      <c r="H22" s="11" t="n">
        <v>45697</v>
      </c>
      <c r="I22" s="11" t="n">
        <v>45698</v>
      </c>
      <c r="J22" s="11" t="n">
        <v>45727</v>
      </c>
      <c r="K22" s="11" t="n">
        <v>45736</v>
      </c>
      <c r="L22" s="19" t="s">
        <v>68</v>
      </c>
      <c r="M22" s="14" t="n">
        <v>45</v>
      </c>
    </row>
    <row r="23" customFormat="false" ht="15" hidden="false" customHeight="true" outlineLevel="0" collapsed="false">
      <c r="A23" s="4" t="s">
        <v>241</v>
      </c>
      <c r="B23" s="4" t="s">
        <v>57</v>
      </c>
      <c r="C23" s="4" t="s">
        <v>18</v>
      </c>
      <c r="D23" s="5" t="n">
        <v>45680</v>
      </c>
      <c r="E23" s="5" t="n">
        <v>45681</v>
      </c>
      <c r="F23" s="5" t="n">
        <v>45681</v>
      </c>
      <c r="G23" s="5" t="n">
        <v>45684</v>
      </c>
      <c r="H23" s="5" t="n">
        <v>45684</v>
      </c>
      <c r="I23" s="5" t="n">
        <v>45685</v>
      </c>
      <c r="J23" s="5" t="n">
        <v>45744</v>
      </c>
      <c r="K23" s="4"/>
      <c r="L23" s="13" t="s">
        <v>24</v>
      </c>
      <c r="M23" s="9" t="n">
        <v>67</v>
      </c>
    </row>
    <row r="24" customFormat="false" ht="15" hidden="false" customHeight="true" outlineLevel="0" collapsed="false">
      <c r="A24" s="10" t="s">
        <v>242</v>
      </c>
      <c r="B24" s="10" t="s">
        <v>49</v>
      </c>
      <c r="C24" s="10" t="s">
        <v>41</v>
      </c>
      <c r="D24" s="11" t="n">
        <v>45662</v>
      </c>
      <c r="E24" s="11" t="n">
        <v>45663</v>
      </c>
      <c r="F24" s="11" t="n">
        <v>45663</v>
      </c>
      <c r="G24" s="11" t="n">
        <v>45667</v>
      </c>
      <c r="H24" s="11" t="n">
        <v>45668</v>
      </c>
      <c r="I24" s="11" t="n">
        <v>45670</v>
      </c>
      <c r="J24" s="11" t="n">
        <v>45713</v>
      </c>
      <c r="K24" s="11" t="n">
        <v>45715</v>
      </c>
      <c r="L24" s="19" t="s">
        <v>68</v>
      </c>
      <c r="M24" s="14" t="n">
        <v>53</v>
      </c>
    </row>
    <row r="25" customFormat="false" ht="15" hidden="false" customHeight="true" outlineLevel="0" collapsed="false">
      <c r="A25" s="4" t="s">
        <v>243</v>
      </c>
      <c r="B25" s="4" t="s">
        <v>36</v>
      </c>
      <c r="C25" s="4" t="s">
        <v>18</v>
      </c>
      <c r="D25" s="5" t="n">
        <v>45662</v>
      </c>
      <c r="E25" s="5" t="n">
        <v>45663</v>
      </c>
      <c r="F25" s="5" t="n">
        <v>45664</v>
      </c>
      <c r="G25" s="5" t="n">
        <v>45669</v>
      </c>
      <c r="H25" s="5" t="n">
        <v>45669</v>
      </c>
      <c r="I25" s="5" t="n">
        <v>45671</v>
      </c>
      <c r="J25" s="5" t="n">
        <v>45729</v>
      </c>
      <c r="K25" s="5" t="n">
        <v>45742</v>
      </c>
      <c r="L25" s="19" t="s">
        <v>68</v>
      </c>
      <c r="M25" s="9" t="n">
        <v>80</v>
      </c>
    </row>
    <row r="26" customFormat="false" ht="15" hidden="false" customHeight="true" outlineLevel="0" collapsed="false">
      <c r="A26" s="10" t="s">
        <v>244</v>
      </c>
      <c r="B26" s="10" t="s">
        <v>54</v>
      </c>
      <c r="C26" s="10" t="s">
        <v>18</v>
      </c>
      <c r="D26" s="11" t="n">
        <v>45663</v>
      </c>
      <c r="E26" s="11" t="n">
        <v>45664</v>
      </c>
      <c r="F26" s="11" t="n">
        <v>45666</v>
      </c>
      <c r="G26" s="11" t="n">
        <v>45671</v>
      </c>
      <c r="H26" s="11" t="n">
        <v>45671</v>
      </c>
      <c r="I26" s="11" t="n">
        <v>45673</v>
      </c>
      <c r="J26" s="11" t="n">
        <v>45731</v>
      </c>
      <c r="K26" s="11" t="n">
        <v>45743</v>
      </c>
      <c r="L26" s="19" t="s">
        <v>68</v>
      </c>
      <c r="M26" s="14" t="n">
        <v>80</v>
      </c>
    </row>
    <row r="27" customFormat="false" ht="15" hidden="false" customHeight="true" outlineLevel="0" collapsed="false">
      <c r="A27" s="4" t="s">
        <v>245</v>
      </c>
      <c r="B27" s="4" t="s">
        <v>16</v>
      </c>
      <c r="C27" s="4" t="s">
        <v>18</v>
      </c>
      <c r="D27" s="5" t="n">
        <v>45625</v>
      </c>
      <c r="E27" s="5" t="n">
        <v>45625</v>
      </c>
      <c r="F27" s="5" t="n">
        <v>45626</v>
      </c>
      <c r="G27" s="5" t="n">
        <v>45629</v>
      </c>
      <c r="H27" s="5" t="n">
        <v>45629</v>
      </c>
      <c r="I27" s="5" t="n">
        <v>45631</v>
      </c>
      <c r="J27" s="5" t="n">
        <v>45689</v>
      </c>
      <c r="K27" s="5" t="n">
        <v>45689</v>
      </c>
      <c r="L27" s="19" t="s">
        <v>68</v>
      </c>
      <c r="M27" s="9" t="n">
        <v>64</v>
      </c>
    </row>
    <row r="28" customFormat="false" ht="15" hidden="false" customHeight="true" outlineLevel="0" collapsed="false">
      <c r="A28" s="10" t="s">
        <v>246</v>
      </c>
      <c r="B28" s="10" t="s">
        <v>16</v>
      </c>
      <c r="C28" s="10" t="s">
        <v>18</v>
      </c>
      <c r="D28" s="11" t="n">
        <v>45647</v>
      </c>
      <c r="E28" s="11" t="n">
        <v>45648</v>
      </c>
      <c r="F28" s="11" t="n">
        <v>45648</v>
      </c>
      <c r="G28" s="11" t="n">
        <v>45650</v>
      </c>
      <c r="H28" s="11" t="n">
        <v>45652</v>
      </c>
      <c r="I28" s="11" t="n">
        <v>45654</v>
      </c>
      <c r="J28" s="11" t="n">
        <v>45712</v>
      </c>
      <c r="K28" s="11" t="n">
        <v>45733</v>
      </c>
      <c r="L28" s="19" t="s">
        <v>68</v>
      </c>
      <c r="M28" s="14" t="n">
        <v>86</v>
      </c>
    </row>
    <row r="29" customFormat="false" ht="15" hidden="false" customHeight="true" outlineLevel="0" collapsed="false">
      <c r="A29" s="4" t="s">
        <v>247</v>
      </c>
      <c r="B29" s="4" t="s">
        <v>49</v>
      </c>
      <c r="C29" s="4" t="s">
        <v>41</v>
      </c>
      <c r="D29" s="5" t="n">
        <v>45678</v>
      </c>
      <c r="E29" s="5" t="n">
        <v>45679</v>
      </c>
      <c r="F29" s="5" t="n">
        <v>45680</v>
      </c>
      <c r="G29" s="5" t="n">
        <v>45684</v>
      </c>
      <c r="H29" s="5" t="n">
        <v>45684</v>
      </c>
      <c r="I29" s="5" t="n">
        <v>45684</v>
      </c>
      <c r="J29" s="5" t="n">
        <v>45729</v>
      </c>
      <c r="K29" s="5" t="n">
        <v>45745</v>
      </c>
      <c r="L29" s="19" t="s">
        <v>68</v>
      </c>
      <c r="M29" s="9" t="n">
        <v>67</v>
      </c>
    </row>
    <row r="30" customFormat="false" ht="15" hidden="false" customHeight="true" outlineLevel="0" collapsed="false">
      <c r="A30" s="10" t="s">
        <v>248</v>
      </c>
      <c r="B30" s="10" t="s">
        <v>36</v>
      </c>
      <c r="C30" s="10" t="s">
        <v>18</v>
      </c>
      <c r="D30" s="11" t="n">
        <v>45686</v>
      </c>
      <c r="E30" s="11" t="n">
        <v>45686</v>
      </c>
      <c r="F30" s="11" t="n">
        <v>45688</v>
      </c>
      <c r="G30" s="11" t="n">
        <v>45691</v>
      </c>
      <c r="H30" s="11" t="n">
        <v>45693</v>
      </c>
      <c r="I30" s="11" t="n">
        <v>45694</v>
      </c>
      <c r="J30" s="11" t="n">
        <v>45753</v>
      </c>
      <c r="K30" s="10"/>
      <c r="L30" s="15" t="s">
        <v>223</v>
      </c>
      <c r="M30" s="14" t="n">
        <v>61</v>
      </c>
    </row>
    <row r="31" customFormat="false" ht="15" hidden="false" customHeight="true" outlineLevel="0" collapsed="false">
      <c r="A31" s="4" t="s">
        <v>249</v>
      </c>
      <c r="B31" s="4" t="s">
        <v>36</v>
      </c>
      <c r="C31" s="4" t="s">
        <v>18</v>
      </c>
      <c r="D31" s="5" t="n">
        <v>45624</v>
      </c>
      <c r="E31" s="5" t="n">
        <v>45624</v>
      </c>
      <c r="F31" s="5" t="n">
        <v>45625</v>
      </c>
      <c r="G31" s="5" t="n">
        <v>45629</v>
      </c>
      <c r="H31" s="5" t="n">
        <v>45630</v>
      </c>
      <c r="I31" s="5" t="n">
        <v>45632</v>
      </c>
      <c r="J31" s="5" t="n">
        <v>45690</v>
      </c>
      <c r="K31" s="5" t="n">
        <v>45696</v>
      </c>
      <c r="L31" s="19" t="s">
        <v>68</v>
      </c>
      <c r="M31" s="9" t="n">
        <v>72</v>
      </c>
    </row>
    <row r="32" customFormat="false" ht="15" hidden="false" customHeight="true" outlineLevel="0" collapsed="false">
      <c r="A32" s="10" t="s">
        <v>250</v>
      </c>
      <c r="B32" s="10" t="s">
        <v>22</v>
      </c>
      <c r="C32" s="10" t="s">
        <v>18</v>
      </c>
      <c r="D32" s="11" t="n">
        <v>45732</v>
      </c>
      <c r="E32" s="11" t="n">
        <v>45732</v>
      </c>
      <c r="F32" s="11" t="n">
        <v>45733</v>
      </c>
      <c r="G32" s="11" t="n">
        <v>45734</v>
      </c>
      <c r="H32" s="11" t="n">
        <v>45736</v>
      </c>
      <c r="I32" s="11" t="n">
        <v>45736</v>
      </c>
      <c r="J32" s="11" t="n">
        <v>45796</v>
      </c>
      <c r="K32" s="10"/>
      <c r="L32" s="15" t="s">
        <v>223</v>
      </c>
      <c r="M32" s="14" t="n">
        <v>15</v>
      </c>
    </row>
    <row r="33" customFormat="false" ht="15" hidden="false" customHeight="true" outlineLevel="0" collapsed="false">
      <c r="A33" s="4" t="s">
        <v>251</v>
      </c>
      <c r="B33" s="4" t="s">
        <v>60</v>
      </c>
      <c r="C33" s="4" t="s">
        <v>33</v>
      </c>
      <c r="D33" s="5" t="n">
        <v>45631</v>
      </c>
      <c r="E33" s="5" t="n">
        <v>45632</v>
      </c>
      <c r="F33" s="5" t="n">
        <v>45633</v>
      </c>
      <c r="G33" s="5" t="n">
        <v>45638</v>
      </c>
      <c r="H33" s="5" t="n">
        <v>45640</v>
      </c>
      <c r="I33" s="5" t="n">
        <v>45642</v>
      </c>
      <c r="J33" s="5" t="n">
        <v>45670</v>
      </c>
      <c r="K33" s="5" t="n">
        <v>45676</v>
      </c>
      <c r="L33" s="19" t="s">
        <v>68</v>
      </c>
      <c r="M33" s="9" t="n">
        <v>45</v>
      </c>
    </row>
    <row r="34" customFormat="false" ht="15" hidden="false" customHeight="true" outlineLevel="0" collapsed="false">
      <c r="A34" s="10" t="s">
        <v>252</v>
      </c>
      <c r="B34" s="10" t="s">
        <v>43</v>
      </c>
      <c r="C34" s="10" t="s">
        <v>18</v>
      </c>
      <c r="D34" s="11" t="n">
        <v>45712</v>
      </c>
      <c r="E34" s="11" t="n">
        <v>45713</v>
      </c>
      <c r="F34" s="11" t="n">
        <v>45714</v>
      </c>
      <c r="G34" s="11" t="n">
        <v>45716</v>
      </c>
      <c r="H34" s="11" t="n">
        <v>45717</v>
      </c>
      <c r="I34" s="11" t="n">
        <v>45720</v>
      </c>
      <c r="J34" s="11" t="n">
        <v>45777</v>
      </c>
      <c r="K34" s="10"/>
      <c r="L34" s="15" t="s">
        <v>223</v>
      </c>
      <c r="M34" s="14" t="n">
        <v>35</v>
      </c>
    </row>
    <row r="35" customFormat="false" ht="15" hidden="false" customHeight="true" outlineLevel="0" collapsed="false">
      <c r="A35" s="4" t="s">
        <v>253</v>
      </c>
      <c r="B35" s="4" t="s">
        <v>46</v>
      </c>
      <c r="C35" s="4" t="s">
        <v>41</v>
      </c>
      <c r="D35" s="5" t="n">
        <v>45705</v>
      </c>
      <c r="E35" s="5" t="n">
        <v>45705</v>
      </c>
      <c r="F35" s="5" t="n">
        <v>45706</v>
      </c>
      <c r="G35" s="5" t="n">
        <v>45710</v>
      </c>
      <c r="H35" s="5" t="n">
        <v>45711</v>
      </c>
      <c r="I35" s="5" t="n">
        <v>45712</v>
      </c>
      <c r="J35" s="5" t="n">
        <v>45756</v>
      </c>
      <c r="K35" s="4"/>
      <c r="L35" s="15" t="s">
        <v>223</v>
      </c>
      <c r="M35" s="9" t="n">
        <v>42</v>
      </c>
    </row>
    <row r="36" customFormat="false" ht="15" hidden="false" customHeight="true" outlineLevel="0" collapsed="false">
      <c r="A36" s="10" t="s">
        <v>254</v>
      </c>
      <c r="B36" s="10" t="s">
        <v>46</v>
      </c>
      <c r="C36" s="10" t="s">
        <v>41</v>
      </c>
      <c r="D36" s="11" t="n">
        <v>45673</v>
      </c>
      <c r="E36" s="11" t="n">
        <v>45673</v>
      </c>
      <c r="F36" s="11" t="n">
        <v>45674</v>
      </c>
      <c r="G36" s="11" t="n">
        <v>45678</v>
      </c>
      <c r="H36" s="11" t="n">
        <v>45680</v>
      </c>
      <c r="I36" s="11" t="n">
        <v>45683</v>
      </c>
      <c r="J36" s="11" t="n">
        <v>45725</v>
      </c>
      <c r="K36" s="11" t="n">
        <v>45730</v>
      </c>
      <c r="L36" s="19" t="s">
        <v>68</v>
      </c>
      <c r="M36" s="14" t="n">
        <v>57</v>
      </c>
    </row>
    <row r="37" customFormat="false" ht="15" hidden="false" customHeight="true" outlineLevel="0" collapsed="false">
      <c r="A37" s="4" t="s">
        <v>255</v>
      </c>
      <c r="B37" s="4" t="s">
        <v>57</v>
      </c>
      <c r="C37" s="4" t="s">
        <v>18</v>
      </c>
      <c r="D37" s="5" t="n">
        <v>45615</v>
      </c>
      <c r="E37" s="5" t="n">
        <v>45616</v>
      </c>
      <c r="F37" s="5" t="n">
        <v>45618</v>
      </c>
      <c r="G37" s="5" t="n">
        <v>45620</v>
      </c>
      <c r="H37" s="5" t="n">
        <v>45620</v>
      </c>
      <c r="I37" s="5" t="n">
        <v>45621</v>
      </c>
      <c r="J37" s="5" t="n">
        <v>45680</v>
      </c>
      <c r="K37" s="5" t="n">
        <v>45694</v>
      </c>
      <c r="L37" s="19" t="s">
        <v>68</v>
      </c>
      <c r="M37" s="9" t="n">
        <v>79</v>
      </c>
    </row>
    <row r="38" customFormat="false" ht="15" hidden="false" customHeight="true" outlineLevel="0" collapsed="false">
      <c r="A38" s="10" t="s">
        <v>256</v>
      </c>
      <c r="B38" s="10" t="s">
        <v>36</v>
      </c>
      <c r="C38" s="10" t="s">
        <v>18</v>
      </c>
      <c r="D38" s="11" t="n">
        <v>45734</v>
      </c>
      <c r="E38" s="11" t="n">
        <v>45734</v>
      </c>
      <c r="F38" s="11" t="n">
        <v>45735</v>
      </c>
      <c r="G38" s="11" t="n">
        <v>45739</v>
      </c>
      <c r="H38" s="11" t="n">
        <v>45739</v>
      </c>
      <c r="I38" s="11" t="n">
        <v>45741</v>
      </c>
      <c r="J38" s="11" t="n">
        <v>45799</v>
      </c>
      <c r="K38" s="10"/>
      <c r="L38" s="15" t="s">
        <v>223</v>
      </c>
      <c r="M38" s="14" t="n">
        <v>13</v>
      </c>
    </row>
    <row r="39" customFormat="false" ht="15" hidden="false" customHeight="true" outlineLevel="0" collapsed="false">
      <c r="A39" s="4" t="s">
        <v>257</v>
      </c>
      <c r="B39" s="4" t="s">
        <v>16</v>
      </c>
      <c r="C39" s="4" t="s">
        <v>18</v>
      </c>
      <c r="D39" s="5" t="n">
        <v>45736</v>
      </c>
      <c r="E39" s="5" t="n">
        <v>45737</v>
      </c>
      <c r="F39" s="5" t="n">
        <v>45739</v>
      </c>
      <c r="G39" s="5" t="n">
        <v>45740</v>
      </c>
      <c r="H39" s="5" t="n">
        <v>45742</v>
      </c>
      <c r="I39" s="5" t="n">
        <v>45744</v>
      </c>
      <c r="J39" s="5" t="n">
        <v>45802</v>
      </c>
      <c r="K39" s="4"/>
      <c r="L39" s="15" t="s">
        <v>223</v>
      </c>
      <c r="M39" s="9" t="n">
        <v>11</v>
      </c>
    </row>
    <row r="40" customFormat="false" ht="15" hidden="false" customHeight="true" outlineLevel="0" collapsed="false">
      <c r="A40" s="10" t="s">
        <v>258</v>
      </c>
      <c r="B40" s="10" t="s">
        <v>49</v>
      </c>
      <c r="C40" s="10" t="s">
        <v>41</v>
      </c>
      <c r="D40" s="11" t="n">
        <v>45671</v>
      </c>
      <c r="E40" s="11" t="n">
        <v>45671</v>
      </c>
      <c r="F40" s="11" t="n">
        <v>45671</v>
      </c>
      <c r="G40" s="11" t="n">
        <v>45676</v>
      </c>
      <c r="H40" s="11" t="n">
        <v>45676</v>
      </c>
      <c r="I40" s="11" t="n">
        <v>45679</v>
      </c>
      <c r="J40" s="11" t="n">
        <v>45721</v>
      </c>
      <c r="K40" s="11" t="n">
        <v>45722</v>
      </c>
      <c r="L40" s="19" t="s">
        <v>68</v>
      </c>
      <c r="M40" s="14" t="n">
        <v>51</v>
      </c>
    </row>
    <row r="41" customFormat="false" ht="15" hidden="false" customHeight="true" outlineLevel="0" collapsed="false">
      <c r="A41" s="4" t="s">
        <v>259</v>
      </c>
      <c r="B41" s="4" t="s">
        <v>60</v>
      </c>
      <c r="C41" s="4" t="s">
        <v>33</v>
      </c>
      <c r="D41" s="5" t="n">
        <v>45650</v>
      </c>
      <c r="E41" s="5" t="n">
        <v>45650</v>
      </c>
      <c r="F41" s="5" t="n">
        <v>45652</v>
      </c>
      <c r="G41" s="5" t="n">
        <v>45655</v>
      </c>
      <c r="H41" s="5" t="n">
        <v>45655</v>
      </c>
      <c r="I41" s="5" t="n">
        <v>45658</v>
      </c>
      <c r="J41" s="5" t="n">
        <v>45685</v>
      </c>
      <c r="K41" s="5" t="n">
        <v>45686</v>
      </c>
      <c r="L41" s="19" t="s">
        <v>68</v>
      </c>
      <c r="M41" s="9" t="n">
        <v>36</v>
      </c>
    </row>
    <row r="42" customFormat="false" ht="15" hidden="false" customHeight="true" outlineLevel="0" collapsed="false">
      <c r="A42" s="10" t="s">
        <v>260</v>
      </c>
      <c r="B42" s="10" t="s">
        <v>22</v>
      </c>
      <c r="C42" s="10" t="s">
        <v>18</v>
      </c>
      <c r="D42" s="11" t="n">
        <v>45631</v>
      </c>
      <c r="E42" s="11" t="n">
        <v>45631</v>
      </c>
      <c r="F42" s="11" t="n">
        <v>45631</v>
      </c>
      <c r="G42" s="11" t="n">
        <v>45632</v>
      </c>
      <c r="H42" s="11" t="n">
        <v>45633</v>
      </c>
      <c r="I42" s="11" t="n">
        <v>45634</v>
      </c>
      <c r="J42" s="11" t="n">
        <v>45693</v>
      </c>
      <c r="K42" s="11" t="n">
        <v>45701</v>
      </c>
      <c r="L42" s="19" t="s">
        <v>68</v>
      </c>
      <c r="M42" s="14" t="n">
        <v>70</v>
      </c>
    </row>
    <row r="43" customFormat="false" ht="15" hidden="false" customHeight="true" outlineLevel="0" collapsed="false">
      <c r="A43" s="4" t="s">
        <v>261</v>
      </c>
      <c r="B43" s="4" t="s">
        <v>97</v>
      </c>
      <c r="C43" s="4" t="s">
        <v>41</v>
      </c>
      <c r="D43" s="5" t="n">
        <v>45644</v>
      </c>
      <c r="E43" s="5" t="n">
        <v>45644</v>
      </c>
      <c r="F43" s="5" t="n">
        <v>45646</v>
      </c>
      <c r="G43" s="5" t="n">
        <v>45648</v>
      </c>
      <c r="H43" s="5" t="n">
        <v>45650</v>
      </c>
      <c r="I43" s="5" t="n">
        <v>45651</v>
      </c>
      <c r="J43" s="5" t="n">
        <v>45695</v>
      </c>
      <c r="K43" s="5" t="n">
        <v>45717</v>
      </c>
      <c r="L43" s="19" t="s">
        <v>68</v>
      </c>
      <c r="M43" s="9" t="n">
        <v>73</v>
      </c>
    </row>
    <row r="44" customFormat="false" ht="15" hidden="false" customHeight="true" outlineLevel="0" collapsed="false">
      <c r="A44" s="10" t="s">
        <v>262</v>
      </c>
      <c r="B44" s="10" t="s">
        <v>46</v>
      </c>
      <c r="C44" s="10" t="s">
        <v>41</v>
      </c>
      <c r="D44" s="11" t="n">
        <v>45601</v>
      </c>
      <c r="E44" s="11" t="n">
        <v>45601</v>
      </c>
      <c r="F44" s="11" t="n">
        <v>45603</v>
      </c>
      <c r="G44" s="11" t="n">
        <v>45604</v>
      </c>
      <c r="H44" s="11" t="n">
        <v>45606</v>
      </c>
      <c r="I44" s="11" t="n">
        <v>45607</v>
      </c>
      <c r="J44" s="11" t="n">
        <v>45651</v>
      </c>
      <c r="K44" s="11" t="n">
        <v>45677</v>
      </c>
      <c r="L44" s="19" t="s">
        <v>68</v>
      </c>
      <c r="M44" s="14" t="n">
        <v>76</v>
      </c>
    </row>
    <row r="45" customFormat="false" ht="15" hidden="false" customHeight="true" outlineLevel="0" collapsed="false">
      <c r="A45" s="4" t="s">
        <v>263</v>
      </c>
      <c r="B45" s="4" t="s">
        <v>75</v>
      </c>
      <c r="C45" s="4" t="s">
        <v>33</v>
      </c>
      <c r="D45" s="5" t="n">
        <v>45699</v>
      </c>
      <c r="E45" s="5" t="n">
        <v>45699</v>
      </c>
      <c r="F45" s="5" t="n">
        <v>45699</v>
      </c>
      <c r="G45" s="5" t="n">
        <v>45704</v>
      </c>
      <c r="H45" s="5" t="n">
        <v>45706</v>
      </c>
      <c r="I45" s="5" t="n">
        <v>45709</v>
      </c>
      <c r="J45" s="5" t="n">
        <v>45736</v>
      </c>
      <c r="K45" s="5" t="n">
        <v>45741</v>
      </c>
      <c r="L45" s="19" t="s">
        <v>68</v>
      </c>
      <c r="M45" s="9" t="n">
        <v>42</v>
      </c>
    </row>
    <row r="46" customFormat="false" ht="15" hidden="false" customHeight="true" outlineLevel="0" collapsed="false">
      <c r="A46" s="10" t="s">
        <v>264</v>
      </c>
      <c r="B46" s="10" t="s">
        <v>46</v>
      </c>
      <c r="C46" s="10" t="s">
        <v>41</v>
      </c>
      <c r="D46" s="11" t="n">
        <v>45678</v>
      </c>
      <c r="E46" s="11" t="n">
        <v>45678</v>
      </c>
      <c r="F46" s="11" t="n">
        <v>45679</v>
      </c>
      <c r="G46" s="11" t="n">
        <v>45680</v>
      </c>
      <c r="H46" s="11" t="n">
        <v>45681</v>
      </c>
      <c r="I46" s="11" t="n">
        <v>45684</v>
      </c>
      <c r="J46" s="11" t="n">
        <v>45726</v>
      </c>
      <c r="K46" s="11" t="n">
        <v>45732</v>
      </c>
      <c r="L46" s="19" t="s">
        <v>68</v>
      </c>
      <c r="M46" s="14" t="n">
        <v>54</v>
      </c>
    </row>
    <row r="47" customFormat="false" ht="15" hidden="false" customHeight="true" outlineLevel="0" collapsed="false">
      <c r="A47" s="4" t="s">
        <v>265</v>
      </c>
      <c r="B47" s="4" t="s">
        <v>97</v>
      </c>
      <c r="C47" s="4" t="s">
        <v>41</v>
      </c>
      <c r="D47" s="5" t="n">
        <v>45692</v>
      </c>
      <c r="E47" s="5" t="n">
        <v>45692</v>
      </c>
      <c r="F47" s="5" t="n">
        <v>45692</v>
      </c>
      <c r="G47" s="5" t="n">
        <v>45696</v>
      </c>
      <c r="H47" s="5" t="n">
        <v>45698</v>
      </c>
      <c r="I47" s="5" t="n">
        <v>45698</v>
      </c>
      <c r="J47" s="5" t="n">
        <v>45743</v>
      </c>
      <c r="K47" s="4"/>
      <c r="L47" s="13" t="s">
        <v>24</v>
      </c>
      <c r="M47" s="9" t="n">
        <v>55</v>
      </c>
    </row>
    <row r="48" customFormat="false" ht="15" hidden="false" customHeight="true" outlineLevel="0" collapsed="false">
      <c r="A48" s="10" t="s">
        <v>266</v>
      </c>
      <c r="B48" s="10" t="s">
        <v>64</v>
      </c>
      <c r="C48" s="10" t="s">
        <v>33</v>
      </c>
      <c r="D48" s="11" t="n">
        <v>45641</v>
      </c>
      <c r="E48" s="11" t="n">
        <v>45641</v>
      </c>
      <c r="F48" s="11" t="n">
        <v>45641</v>
      </c>
      <c r="G48" s="11" t="n">
        <v>45646</v>
      </c>
      <c r="H48" s="11" t="n">
        <v>45647</v>
      </c>
      <c r="I48" s="11" t="n">
        <v>45647</v>
      </c>
      <c r="J48" s="11" t="n">
        <v>45677</v>
      </c>
      <c r="K48" s="11" t="n">
        <v>45705</v>
      </c>
      <c r="L48" s="19" t="s">
        <v>68</v>
      </c>
      <c r="M48" s="14" t="n">
        <v>64</v>
      </c>
    </row>
    <row r="49" customFormat="false" ht="15" hidden="false" customHeight="true" outlineLevel="0" collapsed="false">
      <c r="A49" s="4" t="s">
        <v>267</v>
      </c>
      <c r="B49" s="4" t="s">
        <v>57</v>
      </c>
      <c r="C49" s="4" t="s">
        <v>18</v>
      </c>
      <c r="D49" s="5" t="n">
        <v>45696</v>
      </c>
      <c r="E49" s="5" t="n">
        <v>45696</v>
      </c>
      <c r="F49" s="5" t="n">
        <v>45697</v>
      </c>
      <c r="G49" s="5" t="n">
        <v>45700</v>
      </c>
      <c r="H49" s="5" t="n">
        <v>45701</v>
      </c>
      <c r="I49" s="5" t="n">
        <v>45703</v>
      </c>
      <c r="J49" s="5" t="n">
        <v>45761</v>
      </c>
      <c r="K49" s="4"/>
      <c r="L49" s="15" t="s">
        <v>223</v>
      </c>
      <c r="M49" s="9" t="n">
        <v>51</v>
      </c>
    </row>
    <row r="50" customFormat="false" ht="15" hidden="false" customHeight="true" outlineLevel="0" collapsed="false">
      <c r="A50" s="10" t="s">
        <v>268</v>
      </c>
      <c r="B50" s="10" t="s">
        <v>26</v>
      </c>
      <c r="C50" s="10" t="s">
        <v>18</v>
      </c>
      <c r="D50" s="11" t="n">
        <v>45726</v>
      </c>
      <c r="E50" s="11" t="n">
        <v>45727</v>
      </c>
      <c r="F50" s="11" t="n">
        <v>45727</v>
      </c>
      <c r="G50" s="11" t="n">
        <v>45730</v>
      </c>
      <c r="H50" s="11" t="n">
        <v>45730</v>
      </c>
      <c r="I50" s="11" t="n">
        <v>45731</v>
      </c>
      <c r="J50" s="11" t="n">
        <v>45790</v>
      </c>
      <c r="K50" s="10"/>
      <c r="L50" s="15" t="s">
        <v>223</v>
      </c>
      <c r="M50" s="14" t="n">
        <v>21</v>
      </c>
    </row>
    <row r="51" customFormat="false" ht="15" hidden="false" customHeight="true" outlineLevel="0" collapsed="false">
      <c r="A51" s="4" t="s">
        <v>269</v>
      </c>
      <c r="B51" s="4" t="s">
        <v>60</v>
      </c>
      <c r="C51" s="4" t="s">
        <v>33</v>
      </c>
      <c r="D51" s="5" t="n">
        <v>45664</v>
      </c>
      <c r="E51" s="5" t="n">
        <v>45665</v>
      </c>
      <c r="F51" s="5" t="n">
        <v>45666</v>
      </c>
      <c r="G51" s="5" t="n">
        <v>45667</v>
      </c>
      <c r="H51" s="5" t="n">
        <v>45668</v>
      </c>
      <c r="I51" s="5" t="n">
        <v>45671</v>
      </c>
      <c r="J51" s="5" t="n">
        <v>45698</v>
      </c>
      <c r="K51" s="5" t="n">
        <v>45723</v>
      </c>
      <c r="L51" s="19" t="s">
        <v>68</v>
      </c>
      <c r="M51" s="9" t="n">
        <v>59</v>
      </c>
    </row>
    <row r="52" customFormat="false" ht="15" hidden="false" customHeight="true" outlineLevel="0" collapsed="false">
      <c r="A52" s="10" t="s">
        <v>270</v>
      </c>
      <c r="B52" s="10" t="s">
        <v>31</v>
      </c>
      <c r="C52" s="10" t="s">
        <v>33</v>
      </c>
      <c r="D52" s="11" t="n">
        <v>45727</v>
      </c>
      <c r="E52" s="11" t="n">
        <v>45728</v>
      </c>
      <c r="F52" s="11" t="n">
        <v>45728</v>
      </c>
      <c r="G52" s="11" t="n">
        <v>45733</v>
      </c>
      <c r="H52" s="11" t="n">
        <v>45735</v>
      </c>
      <c r="I52" s="11" t="n">
        <v>45737</v>
      </c>
      <c r="J52" s="11" t="n">
        <v>45765</v>
      </c>
      <c r="K52" s="10"/>
      <c r="L52" s="15" t="s">
        <v>223</v>
      </c>
      <c r="M52" s="14" t="n">
        <v>20</v>
      </c>
    </row>
    <row r="53" customFormat="false" ht="15" hidden="false" customHeight="true" outlineLevel="0" collapsed="false">
      <c r="A53" s="4" t="s">
        <v>271</v>
      </c>
      <c r="B53" s="4" t="s">
        <v>57</v>
      </c>
      <c r="C53" s="4" t="s">
        <v>18</v>
      </c>
      <c r="D53" s="5" t="n">
        <v>45652</v>
      </c>
      <c r="E53" s="5" t="n">
        <v>45653</v>
      </c>
      <c r="F53" s="5" t="n">
        <v>45653</v>
      </c>
      <c r="G53" s="5" t="n">
        <v>45657</v>
      </c>
      <c r="H53" s="5" t="n">
        <v>45658</v>
      </c>
      <c r="I53" s="5" t="n">
        <v>45659</v>
      </c>
      <c r="J53" s="5" t="n">
        <v>45718</v>
      </c>
      <c r="K53" s="5" t="n">
        <v>45735</v>
      </c>
      <c r="L53" s="19" t="s">
        <v>68</v>
      </c>
      <c r="M53" s="9" t="n">
        <v>83</v>
      </c>
    </row>
    <row r="54" customFormat="false" ht="15" hidden="false" customHeight="true" outlineLevel="0" collapsed="false">
      <c r="A54" s="10" t="s">
        <v>272</v>
      </c>
      <c r="B54" s="10" t="s">
        <v>75</v>
      </c>
      <c r="C54" s="10" t="s">
        <v>33</v>
      </c>
      <c r="D54" s="11" t="n">
        <v>45733</v>
      </c>
      <c r="E54" s="11" t="n">
        <v>45734</v>
      </c>
      <c r="F54" s="11" t="n">
        <v>45736</v>
      </c>
      <c r="G54" s="11" t="n">
        <v>45740</v>
      </c>
      <c r="H54" s="11" t="n">
        <v>45741</v>
      </c>
      <c r="I54" s="11" t="n">
        <v>45742</v>
      </c>
      <c r="J54" s="11" t="n">
        <v>45771</v>
      </c>
      <c r="K54" s="10"/>
      <c r="L54" s="15" t="s">
        <v>223</v>
      </c>
      <c r="M54" s="14" t="n">
        <v>14</v>
      </c>
    </row>
    <row r="55" customFormat="false" ht="15" hidden="false" customHeight="true" outlineLevel="0" collapsed="false">
      <c r="A55" s="4" t="s">
        <v>273</v>
      </c>
      <c r="B55" s="4" t="s">
        <v>75</v>
      </c>
      <c r="C55" s="4" t="s">
        <v>33</v>
      </c>
      <c r="D55" s="5" t="n">
        <v>45603</v>
      </c>
      <c r="E55" s="5" t="n">
        <v>45604</v>
      </c>
      <c r="F55" s="5" t="n">
        <v>45604</v>
      </c>
      <c r="G55" s="5" t="n">
        <v>45606</v>
      </c>
      <c r="H55" s="5" t="n">
        <v>45606</v>
      </c>
      <c r="I55" s="5" t="n">
        <v>45608</v>
      </c>
      <c r="J55" s="5" t="n">
        <v>45636</v>
      </c>
      <c r="K55" s="5" t="n">
        <v>45641</v>
      </c>
      <c r="L55" s="19" t="s">
        <v>68</v>
      </c>
      <c r="M55" s="9" t="n">
        <v>38</v>
      </c>
    </row>
    <row r="56" customFormat="false" ht="15" hidden="false" customHeight="true" outlineLevel="0" collapsed="false">
      <c r="A56" s="10" t="s">
        <v>274</v>
      </c>
      <c r="B56" s="10" t="s">
        <v>57</v>
      </c>
      <c r="C56" s="10" t="s">
        <v>18</v>
      </c>
      <c r="D56" s="11" t="n">
        <v>45713</v>
      </c>
      <c r="E56" s="11" t="n">
        <v>45714</v>
      </c>
      <c r="F56" s="11" t="n">
        <v>45714</v>
      </c>
      <c r="G56" s="11" t="n">
        <v>45719</v>
      </c>
      <c r="H56" s="11" t="n">
        <v>45719</v>
      </c>
      <c r="I56" s="11" t="n">
        <v>45720</v>
      </c>
      <c r="J56" s="11" t="n">
        <v>45779</v>
      </c>
      <c r="K56" s="10"/>
      <c r="L56" s="15" t="s">
        <v>223</v>
      </c>
      <c r="M56" s="14" t="n">
        <v>34</v>
      </c>
    </row>
    <row r="57" customFormat="false" ht="15" hidden="false" customHeight="true" outlineLevel="0" collapsed="false">
      <c r="A57" s="4" t="s">
        <v>275</v>
      </c>
      <c r="B57" s="4" t="s">
        <v>75</v>
      </c>
      <c r="C57" s="4" t="s">
        <v>33</v>
      </c>
      <c r="D57" s="5" t="n">
        <v>45691</v>
      </c>
      <c r="E57" s="5" t="n">
        <v>45692</v>
      </c>
      <c r="F57" s="5" t="n">
        <v>45692</v>
      </c>
      <c r="G57" s="5" t="n">
        <v>45695</v>
      </c>
      <c r="H57" s="5" t="n">
        <v>45695</v>
      </c>
      <c r="I57" s="5" t="n">
        <v>45698</v>
      </c>
      <c r="J57" s="5" t="n">
        <v>45725</v>
      </c>
      <c r="K57" s="5" t="n">
        <v>45729</v>
      </c>
      <c r="L57" s="19" t="s">
        <v>68</v>
      </c>
      <c r="M57" s="9" t="n">
        <v>38</v>
      </c>
    </row>
    <row r="58" customFormat="false" ht="15" hidden="false" customHeight="true" outlineLevel="0" collapsed="false">
      <c r="A58" s="10" t="s">
        <v>276</v>
      </c>
      <c r="B58" s="10" t="s">
        <v>60</v>
      </c>
      <c r="C58" s="10" t="s">
        <v>33</v>
      </c>
      <c r="D58" s="11" t="n">
        <v>45728</v>
      </c>
      <c r="E58" s="11" t="n">
        <v>45729</v>
      </c>
      <c r="F58" s="11" t="n">
        <v>45730</v>
      </c>
      <c r="G58" s="11" t="n">
        <v>45731</v>
      </c>
      <c r="H58" s="11" t="n">
        <v>45731</v>
      </c>
      <c r="I58" s="11" t="n">
        <v>45732</v>
      </c>
      <c r="J58" s="11" t="n">
        <v>45761</v>
      </c>
      <c r="K58" s="10"/>
      <c r="L58" s="15" t="s">
        <v>223</v>
      </c>
      <c r="M58" s="14" t="n">
        <v>19</v>
      </c>
    </row>
    <row r="59" customFormat="false" ht="15" hidden="false" customHeight="true" outlineLevel="0" collapsed="false">
      <c r="A59" s="4" t="s">
        <v>277</v>
      </c>
      <c r="B59" s="4" t="s">
        <v>46</v>
      </c>
      <c r="C59" s="4" t="s">
        <v>41</v>
      </c>
      <c r="D59" s="5" t="n">
        <v>45626</v>
      </c>
      <c r="E59" s="5" t="n">
        <v>45626</v>
      </c>
      <c r="F59" s="5" t="n">
        <v>45627</v>
      </c>
      <c r="G59" s="5" t="n">
        <v>45632</v>
      </c>
      <c r="H59" s="5" t="n">
        <v>45632</v>
      </c>
      <c r="I59" s="5" t="n">
        <v>45634</v>
      </c>
      <c r="J59" s="5" t="n">
        <v>45677</v>
      </c>
      <c r="K59" s="5" t="n">
        <v>45693</v>
      </c>
      <c r="L59" s="19" t="s">
        <v>68</v>
      </c>
      <c r="M59" s="9" t="n">
        <v>67</v>
      </c>
    </row>
    <row r="60" customFormat="false" ht="15" hidden="false" customHeight="true" outlineLevel="0" collapsed="false">
      <c r="A60" s="10" t="s">
        <v>278</v>
      </c>
      <c r="B60" s="10" t="s">
        <v>75</v>
      </c>
      <c r="C60" s="10" t="s">
        <v>33</v>
      </c>
      <c r="D60" s="11" t="n">
        <v>45678</v>
      </c>
      <c r="E60" s="11" t="n">
        <v>45679</v>
      </c>
      <c r="F60" s="11" t="n">
        <v>45679</v>
      </c>
      <c r="G60" s="11" t="n">
        <v>45680</v>
      </c>
      <c r="H60" s="11" t="n">
        <v>45681</v>
      </c>
      <c r="I60" s="11" t="n">
        <v>45682</v>
      </c>
      <c r="J60" s="11" t="n">
        <v>45711</v>
      </c>
      <c r="K60" s="11" t="n">
        <v>45739</v>
      </c>
      <c r="L60" s="19" t="s">
        <v>68</v>
      </c>
      <c r="M60" s="14" t="n">
        <v>61</v>
      </c>
    </row>
    <row r="61" customFormat="false" ht="15" hidden="false" customHeight="true" outlineLevel="0" collapsed="false">
      <c r="A61" s="4" t="s">
        <v>279</v>
      </c>
      <c r="B61" s="4" t="s">
        <v>43</v>
      </c>
      <c r="C61" s="4" t="s">
        <v>18</v>
      </c>
      <c r="D61" s="5" t="n">
        <v>45693</v>
      </c>
      <c r="E61" s="5" t="n">
        <v>45693</v>
      </c>
      <c r="F61" s="5" t="n">
        <v>45694</v>
      </c>
      <c r="G61" s="5" t="n">
        <v>45696</v>
      </c>
      <c r="H61" s="5" t="n">
        <v>45696</v>
      </c>
      <c r="I61" s="5" t="n">
        <v>45698</v>
      </c>
      <c r="J61" s="5" t="n">
        <v>45756</v>
      </c>
      <c r="K61" s="4"/>
      <c r="L61" s="15" t="s">
        <v>223</v>
      </c>
      <c r="M61" s="9" t="n">
        <v>54</v>
      </c>
    </row>
    <row r="62" customFormat="false" ht="15" hidden="false" customHeight="true" outlineLevel="0" collapsed="false">
      <c r="A62" s="10" t="s">
        <v>280</v>
      </c>
      <c r="B62" s="10" t="s">
        <v>75</v>
      </c>
      <c r="C62" s="10" t="s">
        <v>33</v>
      </c>
      <c r="D62" s="11" t="n">
        <v>45605</v>
      </c>
      <c r="E62" s="11" t="n">
        <v>45605</v>
      </c>
      <c r="F62" s="11" t="n">
        <v>45605</v>
      </c>
      <c r="G62" s="11" t="n">
        <v>45607</v>
      </c>
      <c r="H62" s="11" t="n">
        <v>45609</v>
      </c>
      <c r="I62" s="11" t="n">
        <v>45610</v>
      </c>
      <c r="J62" s="11" t="n">
        <v>45639</v>
      </c>
      <c r="K62" s="11" t="n">
        <v>45660</v>
      </c>
      <c r="L62" s="19" t="s">
        <v>68</v>
      </c>
      <c r="M62" s="14" t="n">
        <v>55</v>
      </c>
    </row>
    <row r="63" customFormat="false" ht="15" hidden="false" customHeight="true" outlineLevel="0" collapsed="false">
      <c r="A63" s="4" t="s">
        <v>281</v>
      </c>
      <c r="B63" s="4" t="s">
        <v>22</v>
      </c>
      <c r="C63" s="4" t="s">
        <v>18</v>
      </c>
      <c r="D63" s="5" t="n">
        <v>45630</v>
      </c>
      <c r="E63" s="5" t="n">
        <v>45631</v>
      </c>
      <c r="F63" s="5" t="n">
        <v>45633</v>
      </c>
      <c r="G63" s="5" t="n">
        <v>45638</v>
      </c>
      <c r="H63" s="5" t="n">
        <v>45638</v>
      </c>
      <c r="I63" s="5" t="n">
        <v>45639</v>
      </c>
      <c r="J63" s="5" t="n">
        <v>45698</v>
      </c>
      <c r="K63" s="5" t="n">
        <v>45706</v>
      </c>
      <c r="L63" s="19" t="s">
        <v>68</v>
      </c>
      <c r="M63" s="9" t="n">
        <v>76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5"/>
    <col collapsed="false" customWidth="true" hidden="false" outlineLevel="0" max="3" min="3" style="1" width="35"/>
    <col collapsed="false" customWidth="true" hidden="false" outlineLevel="0" max="4" min="4" style="1" width="18"/>
  </cols>
  <sheetData>
    <row r="1" customFormat="false" ht="25.5" hidden="false" customHeight="true" outlineLevel="0" collapsed="false">
      <c r="A1" s="2" t="s">
        <v>282</v>
      </c>
      <c r="B1" s="2"/>
      <c r="C1" s="2"/>
      <c r="D1" s="2"/>
      <c r="E1" s="2"/>
      <c r="F1" s="2"/>
    </row>
    <row r="3" customFormat="false" ht="18" hidden="false" customHeight="true" outlineLevel="0" collapsed="false">
      <c r="A3" s="84" t="s">
        <v>283</v>
      </c>
      <c r="B3" s="84" t="s">
        <v>284</v>
      </c>
      <c r="C3" s="84" t="s">
        <v>285</v>
      </c>
      <c r="D3" s="84" t="s">
        <v>286</v>
      </c>
    </row>
    <row r="4" customFormat="false" ht="18" hidden="false" customHeight="true" outlineLevel="0" collapsed="false">
      <c r="A4" s="10" t="s">
        <v>287</v>
      </c>
      <c r="B4" s="10" t="s">
        <v>288</v>
      </c>
      <c r="C4" s="10" t="s">
        <v>289</v>
      </c>
      <c r="D4" s="10" t="s">
        <v>290</v>
      </c>
    </row>
    <row r="5" customFormat="false" ht="18" hidden="false" customHeight="true" outlineLevel="0" collapsed="false">
      <c r="A5" s="4" t="s">
        <v>291</v>
      </c>
      <c r="B5" s="4" t="s">
        <v>292</v>
      </c>
      <c r="C5" s="4" t="s">
        <v>293</v>
      </c>
      <c r="D5" s="4" t="s">
        <v>294</v>
      </c>
    </row>
    <row r="6" customFormat="false" ht="18" hidden="false" customHeight="true" outlineLevel="0" collapsed="false">
      <c r="A6" s="10" t="s">
        <v>295</v>
      </c>
      <c r="B6" s="10" t="s">
        <v>296</v>
      </c>
      <c r="C6" s="10" t="s">
        <v>297</v>
      </c>
      <c r="D6" s="10" t="s">
        <v>298</v>
      </c>
    </row>
    <row r="7" customFormat="false" ht="18" hidden="false" customHeight="true" outlineLevel="0" collapsed="false">
      <c r="A7" s="4" t="s">
        <v>299</v>
      </c>
      <c r="B7" s="4" t="s">
        <v>300</v>
      </c>
      <c r="C7" s="4" t="s">
        <v>301</v>
      </c>
      <c r="D7" s="4" t="s">
        <v>302</v>
      </c>
    </row>
    <row r="8" customFormat="false" ht="18" hidden="false" customHeight="true" outlineLevel="0" collapsed="false">
      <c r="A8" s="10" t="s">
        <v>303</v>
      </c>
      <c r="B8" s="10" t="s">
        <v>304</v>
      </c>
      <c r="C8" s="10" t="s">
        <v>305</v>
      </c>
      <c r="D8" s="10" t="s">
        <v>306</v>
      </c>
    </row>
    <row r="9" customFormat="false" ht="18" hidden="false" customHeight="true" outlineLevel="0" collapsed="false">
      <c r="A9" s="4" t="s">
        <v>307</v>
      </c>
      <c r="B9" s="4" t="s">
        <v>308</v>
      </c>
      <c r="C9" s="4" t="s">
        <v>309</v>
      </c>
      <c r="D9" s="4" t="s">
        <v>310</v>
      </c>
    </row>
    <row r="10" customFormat="false" ht="18" hidden="false" customHeight="true" outlineLevel="0" collapsed="false">
      <c r="A10" s="10" t="s">
        <v>311</v>
      </c>
      <c r="B10" s="10" t="s">
        <v>312</v>
      </c>
      <c r="C10" s="10" t="s">
        <v>313</v>
      </c>
      <c r="D10" s="10" t="s">
        <v>314</v>
      </c>
    </row>
    <row r="11" customFormat="false" ht="18" hidden="false" customHeight="true" outlineLevel="0" collapsed="false">
      <c r="A11" s="4" t="s">
        <v>315</v>
      </c>
      <c r="B11" s="4" t="s">
        <v>316</v>
      </c>
      <c r="C11" s="4" t="s">
        <v>317</v>
      </c>
      <c r="D11" s="4" t="s">
        <v>318</v>
      </c>
    </row>
    <row r="12" customFormat="false" ht="18" hidden="false" customHeight="true" outlineLevel="0" collapsed="false">
      <c r="A12" s="10" t="s">
        <v>319</v>
      </c>
      <c r="B12" s="10" t="s">
        <v>320</v>
      </c>
      <c r="C12" s="10" t="s">
        <v>321</v>
      </c>
      <c r="D12" s="10" t="s">
        <v>322</v>
      </c>
    </row>
    <row r="15" customFormat="false" ht="15" hidden="false" customHeight="true" outlineLevel="0" collapsed="false">
      <c r="A15" s="33" t="s">
        <v>323</v>
      </c>
      <c r="B15" s="33"/>
      <c r="C15" s="33"/>
      <c r="D15" s="33"/>
      <c r="E15" s="33"/>
      <c r="F15" s="33"/>
    </row>
    <row r="16" customFormat="false" ht="18" hidden="false" customHeight="true" outlineLevel="0" collapsed="false">
      <c r="A16" s="85" t="s">
        <v>324</v>
      </c>
      <c r="B16" s="10" t="s">
        <v>325</v>
      </c>
      <c r="C16" s="10" t="s">
        <v>326</v>
      </c>
    </row>
    <row r="17" customFormat="false" ht="18" hidden="false" customHeight="true" outlineLevel="0" collapsed="false">
      <c r="A17" s="86" t="s">
        <v>327</v>
      </c>
      <c r="B17" s="4" t="s">
        <v>328</v>
      </c>
      <c r="C17" s="4" t="s">
        <v>329</v>
      </c>
    </row>
    <row r="18" customFormat="false" ht="18" hidden="false" customHeight="true" outlineLevel="0" collapsed="false">
      <c r="A18" s="87" t="s">
        <v>330</v>
      </c>
      <c r="B18" s="10" t="s">
        <v>331</v>
      </c>
      <c r="C18" s="10" t="s">
        <v>332</v>
      </c>
    </row>
    <row r="19" customFormat="false" ht="18" hidden="false" customHeight="true" outlineLevel="0" collapsed="false">
      <c r="A19" s="88" t="s">
        <v>333</v>
      </c>
      <c r="B19" s="4" t="s">
        <v>334</v>
      </c>
      <c r="C19" s="4" t="s">
        <v>335</v>
      </c>
    </row>
    <row r="20" customFormat="false" ht="18" hidden="false" customHeight="true" outlineLevel="0" collapsed="false">
      <c r="A20" s="89" t="s">
        <v>336</v>
      </c>
      <c r="B20" s="10" t="s">
        <v>337</v>
      </c>
      <c r="C20" s="10" t="s">
        <v>338</v>
      </c>
    </row>
    <row r="21" customFormat="false" ht="18" hidden="false" customHeight="true" outlineLevel="0" collapsed="false">
      <c r="A21" s="90" t="s">
        <v>339</v>
      </c>
      <c r="B21" s="4" t="s">
        <v>340</v>
      </c>
      <c r="C21" s="4" t="s">
        <v>341</v>
      </c>
    </row>
    <row r="22" customFormat="false" ht="18" hidden="false" customHeight="true" outlineLevel="0" collapsed="false">
      <c r="A22" s="85" t="s">
        <v>342</v>
      </c>
      <c r="B22" s="10" t="s">
        <v>343</v>
      </c>
      <c r="C22" s="10" t="s">
        <v>344</v>
      </c>
    </row>
    <row r="23" customFormat="false" ht="18" hidden="false" customHeight="true" outlineLevel="0" collapsed="false">
      <c r="A23" s="91" t="s">
        <v>345</v>
      </c>
      <c r="B23" s="4" t="s">
        <v>346</v>
      </c>
      <c r="C23" s="4" t="s">
        <v>347</v>
      </c>
    </row>
  </sheetData>
  <mergeCells count="2">
    <mergeCell ref="A1:F1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2026-05-03T22:00:15Z</dcterms:created>
  <dc:creator>openpyxl</dc:creator>
  <dc:description/>
  <dc:language>en-US</dc:language>
  <cp:lastModifiedBy/>
  <dcterms:modified xsi:type="dcterms:W3CDTF">2026-05-03T22:00:45Z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