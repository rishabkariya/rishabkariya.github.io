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68_95_99.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2E405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10" fontId="0" fillId="0" borderId="0" pivotButton="0" quotePrefix="0" xfId="0"/>
    <xf numFmtId="0" fontId="1" fillId="4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at Risk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'Metrics'!$B$1:$F$1</f>
            </numRef>
          </cat>
          <val>
            <numRef>
              <f>'Metrics'!$B$6:$B$7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'Metrics'!$B$1:$F$1</f>
            </numRef>
          </cat>
          <val>
            <numRef>
              <f>'Metrics'!$C$6:$C$7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'Metrics'!$B$1:$F$1</f>
            </numRef>
          </cat>
          <val>
            <numRef>
              <f>'Metrics'!$D$6:$D$7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'Metrics'!$B$1:$F$1</f>
            </numRef>
          </cat>
          <val>
            <numRef>
              <f>'Metrics'!$E$6:$E$7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'Metrics'!$B$1:$F$1</f>
            </numRef>
          </cat>
          <val>
            <numRef>
              <f>'Metrics'!$F$6:$F$7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Treynor Ratio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'Metrics'!$B$1:$F$1</f>
            </numRef>
          </cat>
          <val>
            <numRef>
              <f>'Metrics'!$B$5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'Metrics'!$B$1:$F$1</f>
            </numRef>
          </cat>
          <val>
            <numRef>
              <f>'Metrics'!$C$5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'Metrics'!$B$1:$F$1</f>
            </numRef>
          </cat>
          <val>
            <numRef>
              <f>'Metrics'!$D$5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'Metrics'!$B$1:$F$1</f>
            </numRef>
          </cat>
          <val>
            <numRef>
              <f>'Metrics'!$E$5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'Metrics'!$B$1:$F$1</f>
            </numRef>
          </cat>
          <val>
            <numRef>
              <f>'Metrics'!$F$5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Treynor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68-95-99.7 Rule</a:t>
            </a:r>
          </a:p>
        </rich>
      </tx>
    </title>
    <plotArea>
      <lineChart>
        <grouping val="standard"/>
        <ser>
          <idx val="0"/>
          <order val="0"/>
          <tx>
            <strRef>
              <f>'68_95_99.7'!B1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'68_95_99.7'!$A$2:$A$62</f>
            </numRef>
          </cat>
          <val>
            <numRef>
              <f>'68_95_99.7'!$B$2:$B$62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Probability Density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FB</t>
        </is>
      </c>
      <c r="C1" s="1" t="inlineStr">
        <is>
          <t>AMZN</t>
        </is>
      </c>
      <c r="D1" s="1" t="inlineStr">
        <is>
          <t>AAPL</t>
        </is>
      </c>
      <c r="E1" s="1" t="inlineStr">
        <is>
          <t>NFLX</t>
        </is>
      </c>
      <c r="F1" s="1" t="inlineStr">
        <is>
          <t>GOOG</t>
        </is>
      </c>
      <c r="G1" s="1" t="inlineStr">
        <is>
          <t>SPX</t>
        </is>
      </c>
    </row>
    <row r="2">
      <c r="A2" t="inlineStr">
        <is>
          <t>2014-01-02</t>
        </is>
      </c>
      <c r="B2" t="n">
        <v>53.93</v>
      </c>
      <c r="C2" t="n">
        <v>404.95</v>
      </c>
      <c r="D2" t="n">
        <v>77.84</v>
      </c>
      <c r="E2" t="n">
        <v>49.61</v>
      </c>
      <c r="F2" t="n">
        <v>558.5700000000001</v>
      </c>
      <c r="G2" t="n">
        <v>1900.33</v>
      </c>
    </row>
    <row r="3">
      <c r="A3" t="inlineStr">
        <is>
          <t>2014-01-03</t>
        </is>
      </c>
      <c r="B3" t="n">
        <v>52.72</v>
      </c>
      <c r="C3" t="n">
        <v>401.81</v>
      </c>
      <c r="D3" t="n">
        <v>76.7</v>
      </c>
      <c r="E3" t="n">
        <v>51.21</v>
      </c>
      <c r="F3" t="n">
        <v>574.04</v>
      </c>
      <c r="G3" t="n">
        <v>1929.29</v>
      </c>
    </row>
    <row r="4">
      <c r="A4" t="inlineStr">
        <is>
          <t>2014-01-04</t>
        </is>
      </c>
      <c r="B4" t="n">
        <v>54.01</v>
      </c>
      <c r="C4" t="n">
        <v>413.7</v>
      </c>
      <c r="D4" t="n">
        <v>78.68000000000001</v>
      </c>
      <c r="E4" t="n">
        <v>50.47</v>
      </c>
      <c r="F4" t="n">
        <v>594.0599999999999</v>
      </c>
      <c r="G4" t="n">
        <v>1973.61</v>
      </c>
    </row>
    <row r="5">
      <c r="A5" t="inlineStr">
        <is>
          <t>2014-01-05</t>
        </is>
      </c>
      <c r="B5" t="n">
        <v>55.77</v>
      </c>
      <c r="C5" t="n">
        <v>410.1</v>
      </c>
      <c r="D5" t="n">
        <v>77.73</v>
      </c>
      <c r="E5" t="n">
        <v>51</v>
      </c>
      <c r="F5" t="n">
        <v>602.1900000000001</v>
      </c>
      <c r="G5" t="n">
        <v>1995.4</v>
      </c>
    </row>
    <row r="6">
      <c r="A6" t="inlineStr">
        <is>
          <t>2014-01-06</t>
        </is>
      </c>
      <c r="B6" t="n">
        <v>57.38</v>
      </c>
      <c r="C6" t="n">
        <v>425.79</v>
      </c>
      <c r="D6" t="n">
        <v>76.95</v>
      </c>
      <c r="E6" t="n">
        <v>50.08</v>
      </c>
      <c r="F6" t="n">
        <v>596.01</v>
      </c>
      <c r="G6" t="n">
        <v>1954.36</v>
      </c>
    </row>
    <row r="7">
      <c r="A7" t="inlineStr">
        <is>
          <t>2014-01-07</t>
        </is>
      </c>
      <c r="B7" t="n">
        <v>56.18</v>
      </c>
      <c r="C7" t="n">
        <v>420.58</v>
      </c>
      <c r="D7" t="n">
        <v>79.90000000000001</v>
      </c>
      <c r="E7" t="n">
        <v>52.01</v>
      </c>
      <c r="F7" t="n">
        <v>614.9</v>
      </c>
      <c r="G7" t="n">
        <v>1938.65</v>
      </c>
    </row>
    <row r="8">
      <c r="A8" t="inlineStr">
        <is>
          <t>2014-01-08</t>
        </is>
      </c>
      <c r="B8" t="n">
        <v>56.36</v>
      </c>
      <c r="C8" t="n">
        <v>422.18</v>
      </c>
      <c r="D8" t="n">
        <v>82.01000000000001</v>
      </c>
      <c r="E8" t="n">
        <v>53.57</v>
      </c>
      <c r="F8" t="n">
        <v>597.17</v>
      </c>
      <c r="G8" t="n">
        <v>1935.5</v>
      </c>
    </row>
    <row r="9">
      <c r="A9" t="inlineStr">
        <is>
          <t>2014-01-09</t>
        </is>
      </c>
      <c r="B9" t="n">
        <v>57.24</v>
      </c>
      <c r="C9" t="n">
        <v>411.12</v>
      </c>
      <c r="D9" t="n">
        <v>82.64</v>
      </c>
      <c r="E9" t="n">
        <v>55.5</v>
      </c>
      <c r="F9" t="n">
        <v>606.62</v>
      </c>
      <c r="G9" t="n">
        <v>1949.53</v>
      </c>
    </row>
    <row r="10">
      <c r="A10" t="inlineStr">
        <is>
          <t>2014-01-10</t>
        </is>
      </c>
      <c r="B10" t="n">
        <v>57.85</v>
      </c>
      <c r="C10" t="n">
        <v>403.27</v>
      </c>
      <c r="D10" t="n">
        <v>80.51000000000001</v>
      </c>
      <c r="E10" t="n">
        <v>55.05</v>
      </c>
      <c r="F10" t="n">
        <v>622.92</v>
      </c>
      <c r="G10" t="n">
        <v>1912.45</v>
      </c>
    </row>
    <row r="11">
      <c r="A11" t="inlineStr">
        <is>
          <t>2014-01-11</t>
        </is>
      </c>
      <c r="B11" t="n">
        <v>57.18</v>
      </c>
      <c r="C11" t="n">
        <v>398.28</v>
      </c>
      <c r="D11" t="n">
        <v>80.98</v>
      </c>
      <c r="E11" t="n">
        <v>54</v>
      </c>
      <c r="F11" t="n">
        <v>630.25</v>
      </c>
      <c r="G11" t="n">
        <v>1869.23</v>
      </c>
    </row>
    <row r="12">
      <c r="A12" t="inlineStr">
        <is>
          <t>2014-01-12</t>
        </is>
      </c>
      <c r="B12" t="n">
        <v>55.56</v>
      </c>
      <c r="C12" t="n">
        <v>391.56</v>
      </c>
      <c r="D12" t="n">
        <v>82.61</v>
      </c>
      <c r="E12" t="n">
        <v>54</v>
      </c>
      <c r="F12" t="n">
        <v>616.88</v>
      </c>
      <c r="G12" t="n">
        <v>1855.69</v>
      </c>
    </row>
    <row r="13">
      <c r="A13" t="inlineStr">
        <is>
          <t>2014-01-13</t>
        </is>
      </c>
      <c r="B13" t="n">
        <v>54.21</v>
      </c>
      <c r="C13" t="n">
        <v>404.85</v>
      </c>
      <c r="D13" t="n">
        <v>84.38</v>
      </c>
      <c r="E13" t="n">
        <v>54.54</v>
      </c>
      <c r="F13" t="n">
        <v>617.38</v>
      </c>
      <c r="G13" t="n">
        <v>1840.89</v>
      </c>
    </row>
    <row r="14">
      <c r="A14" t="inlineStr">
        <is>
          <t>2014-01-14</t>
        </is>
      </c>
      <c r="B14" t="n">
        <v>54.6</v>
      </c>
      <c r="C14" t="n">
        <v>398.33</v>
      </c>
      <c r="D14" t="n">
        <v>84.62</v>
      </c>
      <c r="E14" t="n">
        <v>55.14</v>
      </c>
      <c r="F14" t="n">
        <v>613.38</v>
      </c>
      <c r="G14" t="n">
        <v>1837.41</v>
      </c>
    </row>
    <row r="15">
      <c r="A15" t="inlineStr">
        <is>
          <t>2014-01-15</t>
        </is>
      </c>
      <c r="B15" t="n">
        <v>56.63</v>
      </c>
      <c r="C15" t="n">
        <v>410.44</v>
      </c>
      <c r="D15" t="n">
        <v>86.25</v>
      </c>
      <c r="E15" t="n">
        <v>54.84</v>
      </c>
      <c r="F15" t="n">
        <v>630.3099999999999</v>
      </c>
      <c r="G15" t="n">
        <v>1792.08</v>
      </c>
    </row>
    <row r="16">
      <c r="A16" t="inlineStr">
        <is>
          <t>2014-01-16</t>
        </is>
      </c>
      <c r="B16" t="n">
        <v>58.52</v>
      </c>
      <c r="C16" t="n">
        <v>403.17</v>
      </c>
      <c r="D16" t="n">
        <v>86.98999999999999</v>
      </c>
      <c r="E16" t="n">
        <v>55.84</v>
      </c>
      <c r="F16" t="n">
        <v>619.46</v>
      </c>
      <c r="G16" t="n">
        <v>1839.87</v>
      </c>
    </row>
    <row r="17">
      <c r="A17" t="inlineStr">
        <is>
          <t>2014-01-17</t>
        </is>
      </c>
      <c r="B17" t="n">
        <v>59.67</v>
      </c>
      <c r="C17" t="n">
        <v>413.42</v>
      </c>
      <c r="D17" t="n">
        <v>87.73</v>
      </c>
      <c r="E17" t="n">
        <v>57.84</v>
      </c>
      <c r="F17" t="n">
        <v>639.63</v>
      </c>
      <c r="G17" t="n">
        <v>1910.86</v>
      </c>
    </row>
    <row r="18">
      <c r="A18" t="inlineStr">
        <is>
          <t>2014-01-18</t>
        </is>
      </c>
      <c r="B18" t="n">
        <v>61.75</v>
      </c>
      <c r="C18" t="n">
        <v>421.3</v>
      </c>
      <c r="D18" t="n">
        <v>89.75</v>
      </c>
      <c r="E18" t="n">
        <v>57.68</v>
      </c>
      <c r="F18" t="n">
        <v>638.83</v>
      </c>
      <c r="G18" t="n">
        <v>1881.05</v>
      </c>
    </row>
    <row r="19">
      <c r="A19" t="inlineStr">
        <is>
          <t>2014-01-19</t>
        </is>
      </c>
      <c r="B19" t="n">
        <v>60.15</v>
      </c>
      <c r="C19" t="n">
        <v>430.41</v>
      </c>
      <c r="D19" t="n">
        <v>90.22</v>
      </c>
      <c r="E19" t="n">
        <v>59.05</v>
      </c>
      <c r="F19" t="n">
        <v>660.27</v>
      </c>
      <c r="G19" t="n">
        <v>1844.16</v>
      </c>
    </row>
    <row r="20">
      <c r="A20" t="inlineStr">
        <is>
          <t>2014-01-20</t>
        </is>
      </c>
      <c r="B20" t="n">
        <v>59.01</v>
      </c>
      <c r="C20" t="n">
        <v>431.92</v>
      </c>
      <c r="D20" t="n">
        <v>89.59</v>
      </c>
      <c r="E20" t="n">
        <v>59.55</v>
      </c>
      <c r="F20" t="n">
        <v>671.29</v>
      </c>
      <c r="G20" t="n">
        <v>1846.85</v>
      </c>
    </row>
    <row r="21">
      <c r="A21" t="inlineStr">
        <is>
          <t>2014-01-21</t>
        </is>
      </c>
      <c r="B21" t="n">
        <v>59.34</v>
      </c>
      <c r="C21" t="n">
        <v>439.41</v>
      </c>
      <c r="D21" t="n">
        <v>88.88</v>
      </c>
      <c r="E21" t="n">
        <v>61.02</v>
      </c>
      <c r="F21" t="n">
        <v>692.6900000000001</v>
      </c>
      <c r="G21" t="n">
        <v>1799.73</v>
      </c>
    </row>
    <row r="22">
      <c r="A22" t="inlineStr">
        <is>
          <t>2014-01-22</t>
        </is>
      </c>
      <c r="B22" t="n">
        <v>59.21</v>
      </c>
      <c r="C22" t="n">
        <v>448.21</v>
      </c>
      <c r="D22" t="n">
        <v>87.73999999999999</v>
      </c>
      <c r="E22" t="n">
        <v>59.94</v>
      </c>
      <c r="F22" t="n">
        <v>697.42</v>
      </c>
      <c r="G22" t="n">
        <v>1762.03</v>
      </c>
    </row>
    <row r="23">
      <c r="A23" t="inlineStr">
        <is>
          <t>2014-01-23</t>
        </is>
      </c>
      <c r="B23" t="n">
        <v>61.42</v>
      </c>
      <c r="C23" t="n">
        <v>458.37</v>
      </c>
      <c r="D23" t="n">
        <v>91.06</v>
      </c>
      <c r="E23" t="n">
        <v>58.84</v>
      </c>
      <c r="F23" t="n">
        <v>700.2</v>
      </c>
      <c r="G23" t="n">
        <v>1793.71</v>
      </c>
    </row>
    <row r="24">
      <c r="A24" t="inlineStr">
        <is>
          <t>2014-01-24</t>
        </is>
      </c>
      <c r="B24" t="n">
        <v>61.02</v>
      </c>
      <c r="C24" t="n">
        <v>454.9</v>
      </c>
      <c r="D24" t="n">
        <v>88.65000000000001</v>
      </c>
      <c r="E24" t="n">
        <v>60.28</v>
      </c>
      <c r="F24" t="n">
        <v>695.77</v>
      </c>
      <c r="G24" t="n">
        <v>1804.21</v>
      </c>
    </row>
    <row r="25">
      <c r="A25" t="inlineStr">
        <is>
          <t>2014-01-25</t>
        </is>
      </c>
      <c r="B25" t="n">
        <v>62.64</v>
      </c>
      <c r="C25" t="n">
        <v>449.27</v>
      </c>
      <c r="D25" t="n">
        <v>91.7</v>
      </c>
      <c r="E25" t="n">
        <v>61.75</v>
      </c>
      <c r="F25" t="n">
        <v>698.55</v>
      </c>
      <c r="G25" t="n">
        <v>1846.47</v>
      </c>
    </row>
    <row r="26">
      <c r="A26" t="inlineStr">
        <is>
          <t>2014-01-26</t>
        </is>
      </c>
      <c r="B26" t="n">
        <v>64.95</v>
      </c>
      <c r="C26" t="n">
        <v>440.51</v>
      </c>
      <c r="D26" t="n">
        <v>93.97</v>
      </c>
      <c r="E26" t="n">
        <v>63.34</v>
      </c>
      <c r="F26" t="n">
        <v>720.01</v>
      </c>
      <c r="G26" t="n">
        <v>1900.94</v>
      </c>
    </row>
    <row r="27">
      <c r="A27" t="inlineStr">
        <is>
          <t>2014-01-27</t>
        </is>
      </c>
      <c r="B27" t="n">
        <v>67.02</v>
      </c>
      <c r="C27" t="n">
        <v>428.78</v>
      </c>
      <c r="D27" t="n">
        <v>95.36</v>
      </c>
      <c r="E27" t="n">
        <v>62.48</v>
      </c>
      <c r="F27" t="n">
        <v>721.8200000000001</v>
      </c>
      <c r="G27" t="n">
        <v>1871.74</v>
      </c>
    </row>
    <row r="28">
      <c r="A28" t="inlineStr">
        <is>
          <t>2014-01-28</t>
        </is>
      </c>
      <c r="B28" t="n">
        <v>65.06</v>
      </c>
      <c r="C28" t="n">
        <v>444.53</v>
      </c>
      <c r="D28" t="n">
        <v>93.14</v>
      </c>
      <c r="E28" t="n">
        <v>62.74</v>
      </c>
      <c r="F28" t="n">
        <v>705.14</v>
      </c>
      <c r="G28" t="n">
        <v>1897.16</v>
      </c>
    </row>
    <row r="29">
      <c r="A29" t="inlineStr">
        <is>
          <t>2014-01-29</t>
        </is>
      </c>
      <c r="B29" t="n">
        <v>63.16</v>
      </c>
      <c r="C29" t="n">
        <v>436.95</v>
      </c>
      <c r="D29" t="n">
        <v>90.7</v>
      </c>
      <c r="E29" t="n">
        <v>64.84999999999999</v>
      </c>
      <c r="F29" t="n">
        <v>715.47</v>
      </c>
      <c r="G29" t="n">
        <v>1870.41</v>
      </c>
    </row>
    <row r="30">
      <c r="A30" t="inlineStr">
        <is>
          <t>2014-01-30</t>
        </is>
      </c>
      <c r="B30" t="n">
        <v>64.62</v>
      </c>
      <c r="C30" t="n">
        <v>438</v>
      </c>
      <c r="D30" t="n">
        <v>90.54000000000001</v>
      </c>
      <c r="E30" t="n">
        <v>64.67</v>
      </c>
      <c r="F30" t="n">
        <v>729.4</v>
      </c>
      <c r="G30" t="n">
        <v>1934.67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Date</t>
        </is>
      </c>
      <c r="B1" s="2" t="inlineStr">
        <is>
          <t>FB</t>
        </is>
      </c>
      <c r="C1" s="2" t="inlineStr">
        <is>
          <t>AMZN</t>
        </is>
      </c>
      <c r="D1" s="2" t="inlineStr">
        <is>
          <t>AAPL</t>
        </is>
      </c>
      <c r="E1" s="2" t="inlineStr">
        <is>
          <t>NFLX</t>
        </is>
      </c>
      <c r="F1" s="2" t="inlineStr">
        <is>
          <t>GOOG</t>
        </is>
      </c>
      <c r="G1" s="2" t="inlineStr">
        <is>
          <t>SPX</t>
        </is>
      </c>
      <c r="H1" s="2" t="inlineStr">
        <is>
          <t>Portfolio</t>
        </is>
      </c>
    </row>
    <row r="2">
      <c r="A2" t="inlineStr">
        <is>
          <t>2014-01-03</t>
        </is>
      </c>
      <c r="B2" s="3">
        <f>(Raw_Data!B3/Raw_Data!B2)-1</f>
        <v/>
      </c>
      <c r="C2" s="3">
        <f>(Raw_Data!C3/Raw_Data!C2)-1</f>
        <v/>
      </c>
      <c r="D2" s="3">
        <f>(Raw_Data!D3/Raw_Data!D2)-1</f>
        <v/>
      </c>
      <c r="E2" s="3">
        <f>(Raw_Data!E3/Raw_Data!E2)-1</f>
        <v/>
      </c>
      <c r="F2" s="3">
        <f>(Raw_Data!F3/Raw_Data!F2)-1</f>
        <v/>
      </c>
      <c r="G2" s="3">
        <f>(Raw_Data!G3/Raw_Data!G2)-1</f>
        <v/>
      </c>
      <c r="H2" s="3">
        <f>AVERAGE(B2:F2)</f>
        <v/>
      </c>
    </row>
    <row r="3">
      <c r="A3" t="inlineStr">
        <is>
          <t>2014-01-04</t>
        </is>
      </c>
      <c r="B3" s="3">
        <f>(Raw_Data!B4/Raw_Data!B3)-1</f>
        <v/>
      </c>
      <c r="C3" s="3">
        <f>(Raw_Data!C4/Raw_Data!C3)-1</f>
        <v/>
      </c>
      <c r="D3" s="3">
        <f>(Raw_Data!D4/Raw_Data!D3)-1</f>
        <v/>
      </c>
      <c r="E3" s="3">
        <f>(Raw_Data!E4/Raw_Data!E3)-1</f>
        <v/>
      </c>
      <c r="F3" s="3">
        <f>(Raw_Data!F4/Raw_Data!F3)-1</f>
        <v/>
      </c>
      <c r="G3" s="3">
        <f>(Raw_Data!G4/Raw_Data!G3)-1</f>
        <v/>
      </c>
      <c r="H3" s="3">
        <f>AVERAGE(B3:F3)</f>
        <v/>
      </c>
    </row>
    <row r="4">
      <c r="A4" t="inlineStr">
        <is>
          <t>2014-01-05</t>
        </is>
      </c>
      <c r="B4" s="3">
        <f>(Raw_Data!B5/Raw_Data!B4)-1</f>
        <v/>
      </c>
      <c r="C4" s="3">
        <f>(Raw_Data!C5/Raw_Data!C4)-1</f>
        <v/>
      </c>
      <c r="D4" s="3">
        <f>(Raw_Data!D5/Raw_Data!D4)-1</f>
        <v/>
      </c>
      <c r="E4" s="3">
        <f>(Raw_Data!E5/Raw_Data!E4)-1</f>
        <v/>
      </c>
      <c r="F4" s="3">
        <f>(Raw_Data!F5/Raw_Data!F4)-1</f>
        <v/>
      </c>
      <c r="G4" s="3">
        <f>(Raw_Data!G5/Raw_Data!G4)-1</f>
        <v/>
      </c>
      <c r="H4" s="3">
        <f>AVERAGE(B4:F4)</f>
        <v/>
      </c>
    </row>
    <row r="5">
      <c r="A5" t="inlineStr">
        <is>
          <t>2014-01-06</t>
        </is>
      </c>
      <c r="B5" s="3">
        <f>(Raw_Data!B6/Raw_Data!B5)-1</f>
        <v/>
      </c>
      <c r="C5" s="3">
        <f>(Raw_Data!C6/Raw_Data!C5)-1</f>
        <v/>
      </c>
      <c r="D5" s="3">
        <f>(Raw_Data!D6/Raw_Data!D5)-1</f>
        <v/>
      </c>
      <c r="E5" s="3">
        <f>(Raw_Data!E6/Raw_Data!E5)-1</f>
        <v/>
      </c>
      <c r="F5" s="3">
        <f>(Raw_Data!F6/Raw_Data!F5)-1</f>
        <v/>
      </c>
      <c r="G5" s="3">
        <f>(Raw_Data!G6/Raw_Data!G5)-1</f>
        <v/>
      </c>
      <c r="H5" s="3">
        <f>AVERAGE(B5:F5)</f>
        <v/>
      </c>
    </row>
    <row r="6">
      <c r="A6" t="inlineStr">
        <is>
          <t>2014-01-07</t>
        </is>
      </c>
      <c r="B6" s="3">
        <f>(Raw_Data!B7/Raw_Data!B6)-1</f>
        <v/>
      </c>
      <c r="C6" s="3">
        <f>(Raw_Data!C7/Raw_Data!C6)-1</f>
        <v/>
      </c>
      <c r="D6" s="3">
        <f>(Raw_Data!D7/Raw_Data!D6)-1</f>
        <v/>
      </c>
      <c r="E6" s="3">
        <f>(Raw_Data!E7/Raw_Data!E6)-1</f>
        <v/>
      </c>
      <c r="F6" s="3">
        <f>(Raw_Data!F7/Raw_Data!F6)-1</f>
        <v/>
      </c>
      <c r="G6" s="3">
        <f>(Raw_Data!G7/Raw_Data!G6)-1</f>
        <v/>
      </c>
      <c r="H6" s="3">
        <f>AVERAGE(B6:F6)</f>
        <v/>
      </c>
    </row>
    <row r="7">
      <c r="A7" t="inlineStr">
        <is>
          <t>2014-01-08</t>
        </is>
      </c>
      <c r="B7" s="3">
        <f>(Raw_Data!B8/Raw_Data!B7)-1</f>
        <v/>
      </c>
      <c r="C7" s="3">
        <f>(Raw_Data!C8/Raw_Data!C7)-1</f>
        <v/>
      </c>
      <c r="D7" s="3">
        <f>(Raw_Data!D8/Raw_Data!D7)-1</f>
        <v/>
      </c>
      <c r="E7" s="3">
        <f>(Raw_Data!E8/Raw_Data!E7)-1</f>
        <v/>
      </c>
      <c r="F7" s="3">
        <f>(Raw_Data!F8/Raw_Data!F7)-1</f>
        <v/>
      </c>
      <c r="G7" s="3">
        <f>(Raw_Data!G8/Raw_Data!G7)-1</f>
        <v/>
      </c>
      <c r="H7" s="3">
        <f>AVERAGE(B7:F7)</f>
        <v/>
      </c>
    </row>
    <row r="8">
      <c r="A8" t="inlineStr">
        <is>
          <t>2014-01-09</t>
        </is>
      </c>
      <c r="B8" s="3">
        <f>(Raw_Data!B9/Raw_Data!B8)-1</f>
        <v/>
      </c>
      <c r="C8" s="3">
        <f>(Raw_Data!C9/Raw_Data!C8)-1</f>
        <v/>
      </c>
      <c r="D8" s="3">
        <f>(Raw_Data!D9/Raw_Data!D8)-1</f>
        <v/>
      </c>
      <c r="E8" s="3">
        <f>(Raw_Data!E9/Raw_Data!E8)-1</f>
        <v/>
      </c>
      <c r="F8" s="3">
        <f>(Raw_Data!F9/Raw_Data!F8)-1</f>
        <v/>
      </c>
      <c r="G8" s="3">
        <f>(Raw_Data!G9/Raw_Data!G8)-1</f>
        <v/>
      </c>
      <c r="H8" s="3">
        <f>AVERAGE(B8:F8)</f>
        <v/>
      </c>
    </row>
    <row r="9">
      <c r="A9" t="inlineStr">
        <is>
          <t>2014-01-10</t>
        </is>
      </c>
      <c r="B9" s="3">
        <f>(Raw_Data!B10/Raw_Data!B9)-1</f>
        <v/>
      </c>
      <c r="C9" s="3">
        <f>(Raw_Data!C10/Raw_Data!C9)-1</f>
        <v/>
      </c>
      <c r="D9" s="3">
        <f>(Raw_Data!D10/Raw_Data!D9)-1</f>
        <v/>
      </c>
      <c r="E9" s="3">
        <f>(Raw_Data!E10/Raw_Data!E9)-1</f>
        <v/>
      </c>
      <c r="F9" s="3">
        <f>(Raw_Data!F10/Raw_Data!F9)-1</f>
        <v/>
      </c>
      <c r="G9" s="3">
        <f>(Raw_Data!G10/Raw_Data!G9)-1</f>
        <v/>
      </c>
      <c r="H9" s="3">
        <f>AVERAGE(B9:F9)</f>
        <v/>
      </c>
    </row>
    <row r="10">
      <c r="A10" t="inlineStr">
        <is>
          <t>2014-01-11</t>
        </is>
      </c>
      <c r="B10" s="3">
        <f>(Raw_Data!B11/Raw_Data!B10)-1</f>
        <v/>
      </c>
      <c r="C10" s="3">
        <f>(Raw_Data!C11/Raw_Data!C10)-1</f>
        <v/>
      </c>
      <c r="D10" s="3">
        <f>(Raw_Data!D11/Raw_Data!D10)-1</f>
        <v/>
      </c>
      <c r="E10" s="3">
        <f>(Raw_Data!E11/Raw_Data!E10)-1</f>
        <v/>
      </c>
      <c r="F10" s="3">
        <f>(Raw_Data!F11/Raw_Data!F10)-1</f>
        <v/>
      </c>
      <c r="G10" s="3">
        <f>(Raw_Data!G11/Raw_Data!G10)-1</f>
        <v/>
      </c>
      <c r="H10" s="3">
        <f>AVERAGE(B10:F10)</f>
        <v/>
      </c>
    </row>
    <row r="11">
      <c r="A11" t="inlineStr">
        <is>
          <t>2014-01-12</t>
        </is>
      </c>
      <c r="B11" s="3">
        <f>(Raw_Data!B12/Raw_Data!B11)-1</f>
        <v/>
      </c>
      <c r="C11" s="3">
        <f>(Raw_Data!C12/Raw_Data!C11)-1</f>
        <v/>
      </c>
      <c r="D11" s="3">
        <f>(Raw_Data!D12/Raw_Data!D11)-1</f>
        <v/>
      </c>
      <c r="E11" s="3">
        <f>(Raw_Data!E12/Raw_Data!E11)-1</f>
        <v/>
      </c>
      <c r="F11" s="3">
        <f>(Raw_Data!F12/Raw_Data!F11)-1</f>
        <v/>
      </c>
      <c r="G11" s="3">
        <f>(Raw_Data!G12/Raw_Data!G11)-1</f>
        <v/>
      </c>
      <c r="H11" s="3">
        <f>AVERAGE(B11:F11)</f>
        <v/>
      </c>
    </row>
    <row r="12">
      <c r="A12" t="inlineStr">
        <is>
          <t>2014-01-13</t>
        </is>
      </c>
      <c r="B12" s="3">
        <f>(Raw_Data!B13/Raw_Data!B12)-1</f>
        <v/>
      </c>
      <c r="C12" s="3">
        <f>(Raw_Data!C13/Raw_Data!C12)-1</f>
        <v/>
      </c>
      <c r="D12" s="3">
        <f>(Raw_Data!D13/Raw_Data!D12)-1</f>
        <v/>
      </c>
      <c r="E12" s="3">
        <f>(Raw_Data!E13/Raw_Data!E12)-1</f>
        <v/>
      </c>
      <c r="F12" s="3">
        <f>(Raw_Data!F13/Raw_Data!F12)-1</f>
        <v/>
      </c>
      <c r="G12" s="3">
        <f>(Raw_Data!G13/Raw_Data!G12)-1</f>
        <v/>
      </c>
      <c r="H12" s="3">
        <f>AVERAGE(B12:F12)</f>
        <v/>
      </c>
    </row>
    <row r="13">
      <c r="A13" t="inlineStr">
        <is>
          <t>2014-01-14</t>
        </is>
      </c>
      <c r="B13" s="3">
        <f>(Raw_Data!B14/Raw_Data!B13)-1</f>
        <v/>
      </c>
      <c r="C13" s="3">
        <f>(Raw_Data!C14/Raw_Data!C13)-1</f>
        <v/>
      </c>
      <c r="D13" s="3">
        <f>(Raw_Data!D14/Raw_Data!D13)-1</f>
        <v/>
      </c>
      <c r="E13" s="3">
        <f>(Raw_Data!E14/Raw_Data!E13)-1</f>
        <v/>
      </c>
      <c r="F13" s="3">
        <f>(Raw_Data!F14/Raw_Data!F13)-1</f>
        <v/>
      </c>
      <c r="G13" s="3">
        <f>(Raw_Data!G14/Raw_Data!G13)-1</f>
        <v/>
      </c>
      <c r="H13" s="3">
        <f>AVERAGE(B13:F13)</f>
        <v/>
      </c>
    </row>
    <row r="14">
      <c r="A14" t="inlineStr">
        <is>
          <t>2014-01-15</t>
        </is>
      </c>
      <c r="B14" s="3">
        <f>(Raw_Data!B15/Raw_Data!B14)-1</f>
        <v/>
      </c>
      <c r="C14" s="3">
        <f>(Raw_Data!C15/Raw_Data!C14)-1</f>
        <v/>
      </c>
      <c r="D14" s="3">
        <f>(Raw_Data!D15/Raw_Data!D14)-1</f>
        <v/>
      </c>
      <c r="E14" s="3">
        <f>(Raw_Data!E15/Raw_Data!E14)-1</f>
        <v/>
      </c>
      <c r="F14" s="3">
        <f>(Raw_Data!F15/Raw_Data!F14)-1</f>
        <v/>
      </c>
      <c r="G14" s="3">
        <f>(Raw_Data!G15/Raw_Data!G14)-1</f>
        <v/>
      </c>
      <c r="H14" s="3">
        <f>AVERAGE(B14:F14)</f>
        <v/>
      </c>
    </row>
    <row r="15">
      <c r="A15" t="inlineStr">
        <is>
          <t>2014-01-16</t>
        </is>
      </c>
      <c r="B15" s="3">
        <f>(Raw_Data!B16/Raw_Data!B15)-1</f>
        <v/>
      </c>
      <c r="C15" s="3">
        <f>(Raw_Data!C16/Raw_Data!C15)-1</f>
        <v/>
      </c>
      <c r="D15" s="3">
        <f>(Raw_Data!D16/Raw_Data!D15)-1</f>
        <v/>
      </c>
      <c r="E15" s="3">
        <f>(Raw_Data!E16/Raw_Data!E15)-1</f>
        <v/>
      </c>
      <c r="F15" s="3">
        <f>(Raw_Data!F16/Raw_Data!F15)-1</f>
        <v/>
      </c>
      <c r="G15" s="3">
        <f>(Raw_Data!G16/Raw_Data!G15)-1</f>
        <v/>
      </c>
      <c r="H15" s="3">
        <f>AVERAGE(B15:F15)</f>
        <v/>
      </c>
    </row>
    <row r="16">
      <c r="A16" t="inlineStr">
        <is>
          <t>2014-01-17</t>
        </is>
      </c>
      <c r="B16" s="3">
        <f>(Raw_Data!B17/Raw_Data!B16)-1</f>
        <v/>
      </c>
      <c r="C16" s="3">
        <f>(Raw_Data!C17/Raw_Data!C16)-1</f>
        <v/>
      </c>
      <c r="D16" s="3">
        <f>(Raw_Data!D17/Raw_Data!D16)-1</f>
        <v/>
      </c>
      <c r="E16" s="3">
        <f>(Raw_Data!E17/Raw_Data!E16)-1</f>
        <v/>
      </c>
      <c r="F16" s="3">
        <f>(Raw_Data!F17/Raw_Data!F16)-1</f>
        <v/>
      </c>
      <c r="G16" s="3">
        <f>(Raw_Data!G17/Raw_Data!G16)-1</f>
        <v/>
      </c>
      <c r="H16" s="3">
        <f>AVERAGE(B16:F16)</f>
        <v/>
      </c>
    </row>
    <row r="17">
      <c r="A17" t="inlineStr">
        <is>
          <t>2014-01-18</t>
        </is>
      </c>
      <c r="B17" s="3">
        <f>(Raw_Data!B18/Raw_Data!B17)-1</f>
        <v/>
      </c>
      <c r="C17" s="3">
        <f>(Raw_Data!C18/Raw_Data!C17)-1</f>
        <v/>
      </c>
      <c r="D17" s="3">
        <f>(Raw_Data!D18/Raw_Data!D17)-1</f>
        <v/>
      </c>
      <c r="E17" s="3">
        <f>(Raw_Data!E18/Raw_Data!E17)-1</f>
        <v/>
      </c>
      <c r="F17" s="3">
        <f>(Raw_Data!F18/Raw_Data!F17)-1</f>
        <v/>
      </c>
      <c r="G17" s="3">
        <f>(Raw_Data!G18/Raw_Data!G17)-1</f>
        <v/>
      </c>
      <c r="H17" s="3">
        <f>AVERAGE(B17:F17)</f>
        <v/>
      </c>
    </row>
    <row r="18">
      <c r="A18" t="inlineStr">
        <is>
          <t>2014-01-19</t>
        </is>
      </c>
      <c r="B18" s="3">
        <f>(Raw_Data!B19/Raw_Data!B18)-1</f>
        <v/>
      </c>
      <c r="C18" s="3">
        <f>(Raw_Data!C19/Raw_Data!C18)-1</f>
        <v/>
      </c>
      <c r="D18" s="3">
        <f>(Raw_Data!D19/Raw_Data!D18)-1</f>
        <v/>
      </c>
      <c r="E18" s="3">
        <f>(Raw_Data!E19/Raw_Data!E18)-1</f>
        <v/>
      </c>
      <c r="F18" s="3">
        <f>(Raw_Data!F19/Raw_Data!F18)-1</f>
        <v/>
      </c>
      <c r="G18" s="3">
        <f>(Raw_Data!G19/Raw_Data!G18)-1</f>
        <v/>
      </c>
      <c r="H18" s="3">
        <f>AVERAGE(B18:F18)</f>
        <v/>
      </c>
    </row>
    <row r="19">
      <c r="A19" t="inlineStr">
        <is>
          <t>2014-01-20</t>
        </is>
      </c>
      <c r="B19" s="3">
        <f>(Raw_Data!B20/Raw_Data!B19)-1</f>
        <v/>
      </c>
      <c r="C19" s="3">
        <f>(Raw_Data!C20/Raw_Data!C19)-1</f>
        <v/>
      </c>
      <c r="D19" s="3">
        <f>(Raw_Data!D20/Raw_Data!D19)-1</f>
        <v/>
      </c>
      <c r="E19" s="3">
        <f>(Raw_Data!E20/Raw_Data!E19)-1</f>
        <v/>
      </c>
      <c r="F19" s="3">
        <f>(Raw_Data!F20/Raw_Data!F19)-1</f>
        <v/>
      </c>
      <c r="G19" s="3">
        <f>(Raw_Data!G20/Raw_Data!G19)-1</f>
        <v/>
      </c>
      <c r="H19" s="3">
        <f>AVERAGE(B19:F19)</f>
        <v/>
      </c>
    </row>
    <row r="20">
      <c r="A20" t="inlineStr">
        <is>
          <t>2014-01-21</t>
        </is>
      </c>
      <c r="B20" s="3">
        <f>(Raw_Data!B21/Raw_Data!B20)-1</f>
        <v/>
      </c>
      <c r="C20" s="3">
        <f>(Raw_Data!C21/Raw_Data!C20)-1</f>
        <v/>
      </c>
      <c r="D20" s="3">
        <f>(Raw_Data!D21/Raw_Data!D20)-1</f>
        <v/>
      </c>
      <c r="E20" s="3">
        <f>(Raw_Data!E21/Raw_Data!E20)-1</f>
        <v/>
      </c>
      <c r="F20" s="3">
        <f>(Raw_Data!F21/Raw_Data!F20)-1</f>
        <v/>
      </c>
      <c r="G20" s="3">
        <f>(Raw_Data!G21/Raw_Data!G20)-1</f>
        <v/>
      </c>
      <c r="H20" s="3">
        <f>AVERAGE(B20:F20)</f>
        <v/>
      </c>
    </row>
    <row r="21">
      <c r="A21" t="inlineStr">
        <is>
          <t>2014-01-22</t>
        </is>
      </c>
      <c r="B21" s="3">
        <f>(Raw_Data!B22/Raw_Data!B21)-1</f>
        <v/>
      </c>
      <c r="C21" s="3">
        <f>(Raw_Data!C22/Raw_Data!C21)-1</f>
        <v/>
      </c>
      <c r="D21" s="3">
        <f>(Raw_Data!D22/Raw_Data!D21)-1</f>
        <v/>
      </c>
      <c r="E21" s="3">
        <f>(Raw_Data!E22/Raw_Data!E21)-1</f>
        <v/>
      </c>
      <c r="F21" s="3">
        <f>(Raw_Data!F22/Raw_Data!F21)-1</f>
        <v/>
      </c>
      <c r="G21" s="3">
        <f>(Raw_Data!G22/Raw_Data!G21)-1</f>
        <v/>
      </c>
      <c r="H21" s="3">
        <f>AVERAGE(B21:F21)</f>
        <v/>
      </c>
    </row>
    <row r="22">
      <c r="A22" t="inlineStr">
        <is>
          <t>2014-01-23</t>
        </is>
      </c>
      <c r="B22" s="3">
        <f>(Raw_Data!B23/Raw_Data!B22)-1</f>
        <v/>
      </c>
      <c r="C22" s="3">
        <f>(Raw_Data!C23/Raw_Data!C22)-1</f>
        <v/>
      </c>
      <c r="D22" s="3">
        <f>(Raw_Data!D23/Raw_Data!D22)-1</f>
        <v/>
      </c>
      <c r="E22" s="3">
        <f>(Raw_Data!E23/Raw_Data!E22)-1</f>
        <v/>
      </c>
      <c r="F22" s="3">
        <f>(Raw_Data!F23/Raw_Data!F22)-1</f>
        <v/>
      </c>
      <c r="G22" s="3">
        <f>(Raw_Data!G23/Raw_Data!G22)-1</f>
        <v/>
      </c>
      <c r="H22" s="3">
        <f>AVERAGE(B22:F22)</f>
        <v/>
      </c>
    </row>
    <row r="23">
      <c r="A23" t="inlineStr">
        <is>
          <t>2014-01-24</t>
        </is>
      </c>
      <c r="B23" s="3">
        <f>(Raw_Data!B24/Raw_Data!B23)-1</f>
        <v/>
      </c>
      <c r="C23" s="3">
        <f>(Raw_Data!C24/Raw_Data!C23)-1</f>
        <v/>
      </c>
      <c r="D23" s="3">
        <f>(Raw_Data!D24/Raw_Data!D23)-1</f>
        <v/>
      </c>
      <c r="E23" s="3">
        <f>(Raw_Data!E24/Raw_Data!E23)-1</f>
        <v/>
      </c>
      <c r="F23" s="3">
        <f>(Raw_Data!F24/Raw_Data!F23)-1</f>
        <v/>
      </c>
      <c r="G23" s="3">
        <f>(Raw_Data!G24/Raw_Data!G23)-1</f>
        <v/>
      </c>
      <c r="H23" s="3">
        <f>AVERAGE(B23:F23)</f>
        <v/>
      </c>
    </row>
    <row r="24">
      <c r="A24" t="inlineStr">
        <is>
          <t>2014-01-25</t>
        </is>
      </c>
      <c r="B24" s="3">
        <f>(Raw_Data!B25/Raw_Data!B24)-1</f>
        <v/>
      </c>
      <c r="C24" s="3">
        <f>(Raw_Data!C25/Raw_Data!C24)-1</f>
        <v/>
      </c>
      <c r="D24" s="3">
        <f>(Raw_Data!D25/Raw_Data!D24)-1</f>
        <v/>
      </c>
      <c r="E24" s="3">
        <f>(Raw_Data!E25/Raw_Data!E24)-1</f>
        <v/>
      </c>
      <c r="F24" s="3">
        <f>(Raw_Data!F25/Raw_Data!F24)-1</f>
        <v/>
      </c>
      <c r="G24" s="3">
        <f>(Raw_Data!G25/Raw_Data!G24)-1</f>
        <v/>
      </c>
      <c r="H24" s="3">
        <f>AVERAGE(B24:F24)</f>
        <v/>
      </c>
    </row>
    <row r="25">
      <c r="A25" t="inlineStr">
        <is>
          <t>2014-01-26</t>
        </is>
      </c>
      <c r="B25" s="3">
        <f>(Raw_Data!B26/Raw_Data!B25)-1</f>
        <v/>
      </c>
      <c r="C25" s="3">
        <f>(Raw_Data!C26/Raw_Data!C25)-1</f>
        <v/>
      </c>
      <c r="D25" s="3">
        <f>(Raw_Data!D26/Raw_Data!D25)-1</f>
        <v/>
      </c>
      <c r="E25" s="3">
        <f>(Raw_Data!E26/Raw_Data!E25)-1</f>
        <v/>
      </c>
      <c r="F25" s="3">
        <f>(Raw_Data!F26/Raw_Data!F25)-1</f>
        <v/>
      </c>
      <c r="G25" s="3">
        <f>(Raw_Data!G26/Raw_Data!G25)-1</f>
        <v/>
      </c>
      <c r="H25" s="3">
        <f>AVERAGE(B25:F25)</f>
        <v/>
      </c>
    </row>
    <row r="26">
      <c r="A26" t="inlineStr">
        <is>
          <t>2014-01-27</t>
        </is>
      </c>
      <c r="B26" s="3">
        <f>(Raw_Data!B27/Raw_Data!B26)-1</f>
        <v/>
      </c>
      <c r="C26" s="3">
        <f>(Raw_Data!C27/Raw_Data!C26)-1</f>
        <v/>
      </c>
      <c r="D26" s="3">
        <f>(Raw_Data!D27/Raw_Data!D26)-1</f>
        <v/>
      </c>
      <c r="E26" s="3">
        <f>(Raw_Data!E27/Raw_Data!E26)-1</f>
        <v/>
      </c>
      <c r="F26" s="3">
        <f>(Raw_Data!F27/Raw_Data!F26)-1</f>
        <v/>
      </c>
      <c r="G26" s="3">
        <f>(Raw_Data!G27/Raw_Data!G26)-1</f>
        <v/>
      </c>
      <c r="H26" s="3">
        <f>AVERAGE(B26:F26)</f>
        <v/>
      </c>
    </row>
    <row r="27">
      <c r="A27" t="inlineStr">
        <is>
          <t>2014-01-28</t>
        </is>
      </c>
      <c r="B27" s="3">
        <f>(Raw_Data!B28/Raw_Data!B27)-1</f>
        <v/>
      </c>
      <c r="C27" s="3">
        <f>(Raw_Data!C28/Raw_Data!C27)-1</f>
        <v/>
      </c>
      <c r="D27" s="3">
        <f>(Raw_Data!D28/Raw_Data!D27)-1</f>
        <v/>
      </c>
      <c r="E27" s="3">
        <f>(Raw_Data!E28/Raw_Data!E27)-1</f>
        <v/>
      </c>
      <c r="F27" s="3">
        <f>(Raw_Data!F28/Raw_Data!F27)-1</f>
        <v/>
      </c>
      <c r="G27" s="3">
        <f>(Raw_Data!G28/Raw_Data!G27)-1</f>
        <v/>
      </c>
      <c r="H27" s="3">
        <f>AVERAGE(B27:F27)</f>
        <v/>
      </c>
    </row>
    <row r="28">
      <c r="A28" t="inlineStr">
        <is>
          <t>2014-01-29</t>
        </is>
      </c>
      <c r="B28" s="3">
        <f>(Raw_Data!B29/Raw_Data!B28)-1</f>
        <v/>
      </c>
      <c r="C28" s="3">
        <f>(Raw_Data!C29/Raw_Data!C28)-1</f>
        <v/>
      </c>
      <c r="D28" s="3">
        <f>(Raw_Data!D29/Raw_Data!D28)-1</f>
        <v/>
      </c>
      <c r="E28" s="3">
        <f>(Raw_Data!E29/Raw_Data!E28)-1</f>
        <v/>
      </c>
      <c r="F28" s="3">
        <f>(Raw_Data!F29/Raw_Data!F28)-1</f>
        <v/>
      </c>
      <c r="G28" s="3">
        <f>(Raw_Data!G29/Raw_Data!G28)-1</f>
        <v/>
      </c>
      <c r="H28" s="3">
        <f>AVERAGE(B28:F28)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Metric</t>
        </is>
      </c>
      <c r="B1" s="4" t="inlineStr">
        <is>
          <t>FB</t>
        </is>
      </c>
      <c r="C1" s="4" t="inlineStr">
        <is>
          <t>AMZN</t>
        </is>
      </c>
      <c r="D1" s="4" t="inlineStr">
        <is>
          <t>AAPL</t>
        </is>
      </c>
      <c r="E1" s="4" t="inlineStr">
        <is>
          <t>NFLX</t>
        </is>
      </c>
      <c r="F1" s="4" t="inlineStr">
        <is>
          <t>GOOG</t>
        </is>
      </c>
      <c r="G1" s="4" t="inlineStr">
        <is>
          <t>SPX</t>
        </is>
      </c>
      <c r="H1" s="4" t="inlineStr">
        <is>
          <t>FAANG Portfolio</t>
        </is>
      </c>
    </row>
    <row r="2">
      <c r="A2" s="5" t="inlineStr">
        <is>
          <t>Monthly Return</t>
        </is>
      </c>
      <c r="B2" s="6">
        <f>AVERAGE(Returns!B2:B29)*21</f>
        <v/>
      </c>
      <c r="C2" s="6">
        <f>AVERAGE(Returns!C2:C29)*21</f>
        <v/>
      </c>
      <c r="D2" s="6">
        <f>AVERAGE(Returns!D2:D29)*21</f>
        <v/>
      </c>
      <c r="E2" s="6">
        <f>AVERAGE(Returns!E2:E29)*21</f>
        <v/>
      </c>
      <c r="F2" s="6">
        <f>AVERAGE(Returns!F2:F29)*21</f>
        <v/>
      </c>
      <c r="G2" s="6">
        <f>AVERAGE(Returns!G2:G29)*21</f>
        <v/>
      </c>
      <c r="H2" s="6">
        <f>AVERAGE(Returns!H2:H29)*21</f>
        <v/>
      </c>
    </row>
    <row r="3">
      <c r="A3" s="5" t="inlineStr">
        <is>
          <t>STDEV</t>
        </is>
      </c>
      <c r="B3" s="6">
        <f>STDEV(Returns!B2:B29)*SQRT(21)</f>
        <v/>
      </c>
      <c r="C3" s="6">
        <f>STDEV(Returns!C2:C29)*SQRT(21)</f>
        <v/>
      </c>
      <c r="D3" s="6">
        <f>STDEV(Returns!D2:D29)*SQRT(21)</f>
        <v/>
      </c>
      <c r="E3" s="6">
        <f>STDEV(Returns!E2:E29)*SQRT(21)</f>
        <v/>
      </c>
      <c r="F3" s="6">
        <f>STDEV(Returns!F2:F29)*SQRT(21)</f>
        <v/>
      </c>
      <c r="G3" s="6">
        <f>STDEV(Returns!G2:G29)*SQRT(21)</f>
        <v/>
      </c>
      <c r="H3" s="6">
        <f>STDEV(Returns!H2:H29)*SQRT(21)</f>
        <v/>
      </c>
    </row>
    <row r="4">
      <c r="A4" s="5" t="inlineStr">
        <is>
          <t>Beta</t>
        </is>
      </c>
      <c r="B4" s="5">
        <f>SLOPE(Returns!B2:B29,Returns!G2:G29)</f>
        <v/>
      </c>
      <c r="C4" s="5">
        <f>SLOPE(Returns!C2:C29,Returns!G2:G29)</f>
        <v/>
      </c>
      <c r="D4" s="5">
        <f>SLOPE(Returns!D2:D29,Returns!G2:G29)</f>
        <v/>
      </c>
      <c r="E4" s="5">
        <f>SLOPE(Returns!E2:E29,Returns!G2:G29)</f>
        <v/>
      </c>
      <c r="F4" s="5">
        <f>SLOPE(Returns!F2:F29,Returns!G2:G29)</f>
        <v/>
      </c>
      <c r="G4" s="5" t="n"/>
      <c r="H4" s="5">
        <f>AVERAGE(B4:F4)</f>
        <v/>
      </c>
    </row>
    <row r="5">
      <c r="A5" s="5" t="inlineStr">
        <is>
          <t>Treynor</t>
        </is>
      </c>
      <c r="B5" s="6">
        <f>( B2 - 0.02 ) / B4</f>
        <v/>
      </c>
      <c r="C5" s="6">
        <f>( C2 - 0.02 ) / C4</f>
        <v/>
      </c>
      <c r="D5" s="6">
        <f>( D2 - 0.02 ) / D4</f>
        <v/>
      </c>
      <c r="E5" s="6">
        <f>( E2 - 0.02 ) / E4</f>
        <v/>
      </c>
      <c r="F5" s="6">
        <f>( F2 - 0.02 ) / F4</f>
        <v/>
      </c>
      <c r="G5" s="5" t="n"/>
      <c r="H5" s="6">
        <f>(H2-0.02)/H4</f>
        <v/>
      </c>
    </row>
    <row r="6">
      <c r="A6" s="5" t="inlineStr">
        <is>
          <t>VaR at 95%</t>
        </is>
      </c>
      <c r="B6" s="6">
        <f>-PERCENTILE(Returns!B2:B29,0.05)</f>
        <v/>
      </c>
      <c r="C6" s="6">
        <f>-PERCENTILE(Returns!C2:C29,0.05)</f>
        <v/>
      </c>
      <c r="D6" s="6">
        <f>-PERCENTILE(Returns!D2:D29,0.05)</f>
        <v/>
      </c>
      <c r="E6" s="6">
        <f>-PERCENTILE(Returns!E2:E29,0.05)</f>
        <v/>
      </c>
      <c r="F6" s="6">
        <f>-PERCENTILE(Returns!F2:F29,0.05)</f>
        <v/>
      </c>
      <c r="G6" s="5" t="n"/>
      <c r="H6" s="6">
        <f>-PERCENTILE(Returns!H2:H29,0.05)</f>
        <v/>
      </c>
    </row>
    <row r="7">
      <c r="A7" s="5" t="inlineStr">
        <is>
          <t>VaR at 99%</t>
        </is>
      </c>
      <c r="B7" s="6">
        <f>-PERCENTILE(Returns!B2:B29,0.01)</f>
        <v/>
      </c>
      <c r="C7" s="6">
        <f>-PERCENTILE(Returns!C2:C29,0.01)</f>
        <v/>
      </c>
      <c r="D7" s="6">
        <f>-PERCENTILE(Returns!D2:D29,0.01)</f>
        <v/>
      </c>
      <c r="E7" s="6">
        <f>-PERCENTILE(Returns!E2:E29,0.01)</f>
        <v/>
      </c>
      <c r="F7" s="6">
        <f>-PERCENTILE(Returns!F2:F29,0.01)</f>
        <v/>
      </c>
      <c r="G7" s="5" t="n"/>
      <c r="H7" s="6">
        <f>-PERCENTILE(Returns!H2:H29,0.01)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Investment Risk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X</t>
        </is>
      </c>
      <c r="B1" t="inlineStr">
        <is>
          <t>Density</t>
        </is>
      </c>
    </row>
    <row r="2">
      <c r="A2" t="n">
        <v>-3</v>
      </c>
      <c r="B2" t="n">
        <v>0.004431848411938008</v>
      </c>
    </row>
    <row r="3">
      <c r="A3" t="n">
        <v>-2.9</v>
      </c>
      <c r="B3" t="n">
        <v>0.005952532419775854</v>
      </c>
    </row>
    <row r="4">
      <c r="A4" t="n">
        <v>-2.8</v>
      </c>
      <c r="B4" t="n">
        <v>0.007915451582979969</v>
      </c>
    </row>
    <row r="5">
      <c r="A5" t="n">
        <v>-2.7</v>
      </c>
      <c r="B5" t="n">
        <v>0.01042093481442259</v>
      </c>
    </row>
    <row r="6">
      <c r="A6" t="n">
        <v>-2.6</v>
      </c>
      <c r="B6" t="n">
        <v>0.01358296923368561</v>
      </c>
    </row>
    <row r="7">
      <c r="A7" t="n">
        <v>-2.5</v>
      </c>
      <c r="B7" t="n">
        <v>0.01752830049356854</v>
      </c>
    </row>
    <row r="8">
      <c r="A8" t="n">
        <v>-2.4</v>
      </c>
      <c r="B8" t="n">
        <v>0.0223945302948429</v>
      </c>
    </row>
    <row r="9">
      <c r="A9" t="n">
        <v>-2.3</v>
      </c>
      <c r="B9" t="n">
        <v>0.02832703774160119</v>
      </c>
    </row>
    <row r="10">
      <c r="A10" t="n">
        <v>-2.2</v>
      </c>
      <c r="B10" t="n">
        <v>0.03547459284623142</v>
      </c>
    </row>
    <row r="11">
      <c r="A11" t="n">
        <v>-2.1</v>
      </c>
      <c r="B11" t="n">
        <v>0.04398359598042719</v>
      </c>
    </row>
    <row r="12">
      <c r="A12" t="n">
        <v>-2</v>
      </c>
      <c r="B12" t="n">
        <v>0.05399096651318806</v>
      </c>
    </row>
    <row r="13">
      <c r="A13" t="n">
        <v>-1.9</v>
      </c>
      <c r="B13" t="n">
        <v>0.0656158147746766</v>
      </c>
    </row>
    <row r="14">
      <c r="A14" t="n">
        <v>-1.8</v>
      </c>
      <c r="B14" t="n">
        <v>0.07895015830089415</v>
      </c>
    </row>
    <row r="15">
      <c r="A15" t="n">
        <v>-1.7</v>
      </c>
      <c r="B15" t="n">
        <v>0.09404907737688695</v>
      </c>
    </row>
    <row r="16">
      <c r="A16" t="n">
        <v>-1.6</v>
      </c>
      <c r="B16" t="n">
        <v>0.1109208346794555</v>
      </c>
    </row>
    <row r="17">
      <c r="A17" t="n">
        <v>-1.5</v>
      </c>
      <c r="B17" t="n">
        <v>0.1295175956658917</v>
      </c>
    </row>
    <row r="18">
      <c r="A18" t="n">
        <v>-1.4</v>
      </c>
      <c r="B18" t="n">
        <v>0.1497274656357449</v>
      </c>
    </row>
    <row r="19">
      <c r="A19" t="n">
        <v>-1.3</v>
      </c>
      <c r="B19" t="n">
        <v>0.1713685920478074</v>
      </c>
    </row>
    <row r="20">
      <c r="A20" t="n">
        <v>-1.2</v>
      </c>
      <c r="B20" t="n">
        <v>0.194186054983213</v>
      </c>
    </row>
    <row r="21">
      <c r="A21" t="n">
        <v>-1.1</v>
      </c>
      <c r="B21" t="n">
        <v>0.2178521770325505</v>
      </c>
    </row>
    <row r="22">
      <c r="A22" t="n">
        <v>-1</v>
      </c>
      <c r="B22" t="n">
        <v>0.2419707245191434</v>
      </c>
    </row>
    <row r="23">
      <c r="A23" t="n">
        <v>-0.9</v>
      </c>
      <c r="B23" t="n">
        <v>0.2660852498987548</v>
      </c>
    </row>
    <row r="24">
      <c r="A24" t="n">
        <v>-0.8</v>
      </c>
      <c r="B24" t="n">
        <v>0.2896915527614827</v>
      </c>
    </row>
    <row r="25">
      <c r="A25" t="n">
        <v>-0.7</v>
      </c>
      <c r="B25" t="n">
        <v>0.3122539333667613</v>
      </c>
    </row>
    <row r="26">
      <c r="A26" t="n">
        <v>-0.6</v>
      </c>
      <c r="B26" t="n">
        <v>0.3332246028917997</v>
      </c>
    </row>
    <row r="27">
      <c r="A27" t="n">
        <v>-0.5</v>
      </c>
      <c r="B27" t="n">
        <v>0.3520653267642995</v>
      </c>
    </row>
    <row r="28">
      <c r="A28" t="n">
        <v>-0.4</v>
      </c>
      <c r="B28" t="n">
        <v>0.3682701403033233</v>
      </c>
    </row>
    <row r="29">
      <c r="A29" t="n">
        <v>-0.3</v>
      </c>
      <c r="B29" t="n">
        <v>0.3813878154605241</v>
      </c>
    </row>
    <row r="30">
      <c r="A30" t="n">
        <v>-0.2</v>
      </c>
      <c r="B30" t="n">
        <v>0.3910426939754559</v>
      </c>
    </row>
    <row r="31">
      <c r="A31" t="n">
        <v>-0.1</v>
      </c>
      <c r="B31" t="n">
        <v>0.3969525474770118</v>
      </c>
    </row>
    <row r="32">
      <c r="A32" t="n">
        <v>0</v>
      </c>
      <c r="B32" t="n">
        <v>0.3989422804014327</v>
      </c>
    </row>
    <row r="33">
      <c r="A33" t="n">
        <v>0.1</v>
      </c>
      <c r="B33" t="n">
        <v>0.3969525474770118</v>
      </c>
    </row>
    <row r="34">
      <c r="A34" t="n">
        <v>0.2</v>
      </c>
      <c r="B34" t="n">
        <v>0.3910426939754559</v>
      </c>
    </row>
    <row r="35">
      <c r="A35" t="n">
        <v>0.3</v>
      </c>
      <c r="B35" t="n">
        <v>0.3813878154605241</v>
      </c>
    </row>
    <row r="36">
      <c r="A36" t="n">
        <v>0.4</v>
      </c>
      <c r="B36" t="n">
        <v>0.3682701403033233</v>
      </c>
    </row>
    <row r="37">
      <c r="A37" t="n">
        <v>0.5</v>
      </c>
      <c r="B37" t="n">
        <v>0.3520653267642995</v>
      </c>
    </row>
    <row r="38">
      <c r="A38" t="n">
        <v>0.6</v>
      </c>
      <c r="B38" t="n">
        <v>0.3332246028917997</v>
      </c>
    </row>
    <row r="39">
      <c r="A39" t="n">
        <v>0.7</v>
      </c>
      <c r="B39" t="n">
        <v>0.3122539333667613</v>
      </c>
    </row>
    <row r="40">
      <c r="A40" t="n">
        <v>0.8</v>
      </c>
      <c r="B40" t="n">
        <v>0.2896915527614827</v>
      </c>
    </row>
    <row r="41">
      <c r="A41" t="n">
        <v>0.9</v>
      </c>
      <c r="B41" t="n">
        <v>0.2660852498987548</v>
      </c>
    </row>
    <row r="42">
      <c r="A42" t="n">
        <v>1</v>
      </c>
      <c r="B42" t="n">
        <v>0.2419707245191434</v>
      </c>
    </row>
    <row r="43">
      <c r="A43" t="n">
        <v>1.1</v>
      </c>
      <c r="B43" t="n">
        <v>0.2178521770325505</v>
      </c>
    </row>
    <row r="44">
      <c r="A44" t="n">
        <v>1.2</v>
      </c>
      <c r="B44" t="n">
        <v>0.194186054983213</v>
      </c>
    </row>
    <row r="45">
      <c r="A45" t="n">
        <v>1.3</v>
      </c>
      <c r="B45" t="n">
        <v>0.1713685920478074</v>
      </c>
    </row>
    <row r="46">
      <c r="A46" t="n">
        <v>1.4</v>
      </c>
      <c r="B46" t="n">
        <v>0.1497274656357449</v>
      </c>
    </row>
    <row r="47">
      <c r="A47" t="n">
        <v>1.5</v>
      </c>
      <c r="B47" t="n">
        <v>0.1295175956658917</v>
      </c>
    </row>
    <row r="48">
      <c r="A48" t="n">
        <v>1.6</v>
      </c>
      <c r="B48" t="n">
        <v>0.1109208346794555</v>
      </c>
    </row>
    <row r="49">
      <c r="A49" t="n">
        <v>1.7</v>
      </c>
      <c r="B49" t="n">
        <v>0.09404907737688695</v>
      </c>
    </row>
    <row r="50">
      <c r="A50" t="n">
        <v>1.8</v>
      </c>
      <c r="B50" t="n">
        <v>0.07895015830089415</v>
      </c>
    </row>
    <row r="51">
      <c r="A51" t="n">
        <v>1.9</v>
      </c>
      <c r="B51" t="n">
        <v>0.0656158147746766</v>
      </c>
    </row>
    <row r="52">
      <c r="A52" t="n">
        <v>2</v>
      </c>
      <c r="B52" t="n">
        <v>0.05399096651318806</v>
      </c>
    </row>
    <row r="53">
      <c r="A53" t="n">
        <v>2.1</v>
      </c>
      <c r="B53" t="n">
        <v>0.04398359598042719</v>
      </c>
    </row>
    <row r="54">
      <c r="A54" t="n">
        <v>2.2</v>
      </c>
      <c r="B54" t="n">
        <v>0.03547459284623142</v>
      </c>
    </row>
    <row r="55">
      <c r="A55" t="n">
        <v>2.3</v>
      </c>
      <c r="B55" t="n">
        <v>0.02832703774160119</v>
      </c>
    </row>
    <row r="56">
      <c r="A56" t="n">
        <v>2.4</v>
      </c>
      <c r="B56" t="n">
        <v>0.0223945302948429</v>
      </c>
    </row>
    <row r="57">
      <c r="A57" t="n">
        <v>2.5</v>
      </c>
      <c r="B57" t="n">
        <v>0.01752830049356854</v>
      </c>
    </row>
    <row r="58">
      <c r="A58" t="n">
        <v>2.6</v>
      </c>
      <c r="B58" t="n">
        <v>0.01358296923368561</v>
      </c>
    </row>
    <row r="59">
      <c r="A59" t="n">
        <v>2.7</v>
      </c>
      <c r="B59" t="n">
        <v>0.01042093481442259</v>
      </c>
    </row>
    <row r="60">
      <c r="A60" t="n">
        <v>2.8</v>
      </c>
      <c r="B60" t="n">
        <v>0.007915451582979969</v>
      </c>
    </row>
    <row r="61">
      <c r="A61" t="n">
        <v>2.9</v>
      </c>
      <c r="B61" t="n">
        <v>0.005952532419775854</v>
      </c>
    </row>
    <row r="62">
      <c r="A62" t="n">
        <v>3</v>
      </c>
      <c r="B62" t="n">
        <v>0.004431848411938008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2026-04-29T14:17:48Z</dcterms:created>
  <dcterms:modified xmlns:dcterms="http://purl.org/dc/terms/" xmlns:xsi="http://www.w3.org/2001/XMLSchema-instance" xsi:type="dcterms:W3CDTF">2026-04-29T14:17:48Z</dcterms:modified>
</cp:coreProperties>
</file>